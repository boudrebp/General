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3032809\Documents\IDMS_GEV\adms-docs\antora\modules\ROOT\attachments\"/>
    </mc:Choice>
  </mc:AlternateContent>
  <xr:revisionPtr revIDLastSave="0" documentId="13_ncr:1_{A08A7489-A2CE-4DF0-B339-D3B3AB03FA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roduction" sheetId="7" r:id="rId1"/>
    <sheet name="Event Types" sheetId="3" r:id="rId2"/>
    <sheet name="Message Forma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B69" i="3"/>
  <c r="B109" i="3" l="1"/>
  <c r="B108" i="3" l="1"/>
  <c r="B68" i="3" l="1"/>
  <c r="B67" i="3" l="1"/>
  <c r="B66" i="3"/>
  <c r="B65" i="3"/>
  <c r="B64" i="3"/>
  <c r="B63" i="3"/>
  <c r="B62" i="3"/>
  <c r="B61" i="3"/>
  <c r="B60" i="3"/>
  <c r="B106" i="3" l="1"/>
  <c r="B107" i="3"/>
  <c r="B59" i="3"/>
  <c r="B56" i="3" l="1"/>
  <c r="B57" i="3"/>
  <c r="B58" i="3"/>
  <c r="B105" i="3" l="1"/>
  <c r="B55" i="3" l="1"/>
  <c r="B54" i="3"/>
  <c r="B111" i="3" l="1"/>
  <c r="B112" i="3"/>
  <c r="B181" i="3" l="1"/>
  <c r="B178" i="3" l="1"/>
  <c r="B177" i="3"/>
  <c r="B167" i="3"/>
  <c r="B166" i="3"/>
  <c r="B70" i="4" l="1"/>
  <c r="B104" i="3"/>
  <c r="B89" i="4" l="1"/>
  <c r="B88" i="4"/>
  <c r="E87" i="4"/>
  <c r="D88" i="4" s="1"/>
  <c r="E88" i="4" s="1"/>
  <c r="D89" i="4" s="1"/>
  <c r="E89" i="4" s="1"/>
  <c r="B87" i="4"/>
  <c r="B103" i="3"/>
  <c r="B71" i="3" l="1"/>
  <c r="B52" i="3" l="1"/>
  <c r="B53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94" i="3"/>
  <c r="B95" i="3"/>
  <c r="B96" i="3"/>
  <c r="B97" i="3"/>
  <c r="B98" i="3"/>
  <c r="B99" i="3"/>
  <c r="B100" i="3"/>
  <c r="B101" i="3"/>
  <c r="B102" i="3"/>
  <c r="B2" i="3"/>
  <c r="B3" i="3"/>
  <c r="B4" i="3"/>
  <c r="B5" i="3"/>
  <c r="B6" i="3"/>
  <c r="B7" i="3"/>
  <c r="B8" i="3"/>
  <c r="B9" i="3"/>
  <c r="B10" i="3"/>
  <c r="B11" i="3"/>
  <c r="B12" i="3"/>
  <c r="B14" i="3"/>
  <c r="B15" i="3"/>
  <c r="B17" i="3"/>
  <c r="B16" i="3"/>
  <c r="B18" i="3"/>
  <c r="B19" i="3"/>
  <c r="B20" i="3"/>
  <c r="B21" i="3"/>
  <c r="B13" i="3"/>
  <c r="B70" i="3"/>
  <c r="B72" i="3"/>
  <c r="B73" i="3"/>
  <c r="B74" i="3"/>
  <c r="B75" i="3"/>
  <c r="B76" i="3"/>
  <c r="B77" i="3"/>
  <c r="B78" i="3"/>
  <c r="B79" i="3"/>
  <c r="B80" i="3"/>
  <c r="B81" i="3"/>
  <c r="B83" i="3"/>
  <c r="B84" i="3"/>
  <c r="B85" i="3"/>
  <c r="B86" i="3"/>
  <c r="B87" i="3"/>
  <c r="B88" i="3"/>
  <c r="B82" i="3"/>
  <c r="B110" i="3"/>
  <c r="B113" i="3"/>
  <c r="B114" i="3"/>
  <c r="B115" i="3"/>
  <c r="B116" i="3"/>
  <c r="B117" i="3"/>
  <c r="B118" i="3"/>
  <c r="B119" i="3"/>
  <c r="B120" i="3"/>
  <c r="B121" i="3"/>
  <c r="B122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9" i="3"/>
  <c r="B123" i="3"/>
  <c r="B124" i="3"/>
  <c r="B137" i="3"/>
  <c r="B138" i="3"/>
  <c r="B140" i="3"/>
  <c r="B141" i="3"/>
  <c r="B142" i="3"/>
  <c r="B143" i="3"/>
  <c r="B144" i="3"/>
  <c r="B146" i="3"/>
  <c r="B147" i="3"/>
  <c r="B158" i="3"/>
  <c r="B159" i="3"/>
  <c r="B160" i="3"/>
  <c r="B161" i="3"/>
  <c r="B162" i="3"/>
  <c r="B168" i="3"/>
  <c r="B169" i="3"/>
  <c r="B172" i="3"/>
  <c r="B173" i="3"/>
  <c r="B174" i="3"/>
  <c r="B179" i="3"/>
  <c r="B180" i="3"/>
  <c r="B188" i="3"/>
  <c r="B189" i="3"/>
  <c r="B148" i="3"/>
  <c r="B149" i="3"/>
  <c r="B157" i="3"/>
  <c r="B145" i="3"/>
  <c r="B150" i="3"/>
  <c r="B151" i="3"/>
  <c r="B152" i="3"/>
  <c r="B153" i="3"/>
  <c r="B154" i="3"/>
  <c r="B155" i="3"/>
  <c r="B156" i="3"/>
  <c r="B163" i="3"/>
  <c r="B164" i="3"/>
  <c r="B165" i="3"/>
  <c r="B170" i="3"/>
  <c r="B171" i="3"/>
  <c r="B175" i="3"/>
  <c r="B176" i="3"/>
  <c r="B182" i="3"/>
  <c r="B183" i="3"/>
  <c r="B184" i="3"/>
  <c r="B185" i="3"/>
  <c r="B186" i="3"/>
  <c r="B187" i="3"/>
  <c r="B91" i="3"/>
  <c r="B92" i="3"/>
  <c r="B93" i="3"/>
  <c r="B7" i="4" l="1"/>
  <c r="B4" i="4"/>
  <c r="B5" i="4"/>
  <c r="B6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4" i="4"/>
  <c r="B45" i="4"/>
  <c r="B46" i="4"/>
  <c r="B47" i="4"/>
  <c r="B48" i="4"/>
  <c r="B49" i="4"/>
  <c r="B50" i="4"/>
  <c r="B51" i="4"/>
  <c r="B52" i="4"/>
  <c r="B53" i="4"/>
  <c r="B54" i="4"/>
  <c r="B55" i="4"/>
  <c r="B8" i="4"/>
  <c r="B9" i="4"/>
  <c r="B10" i="4"/>
  <c r="B11" i="4"/>
  <c r="B12" i="4"/>
  <c r="B13" i="4"/>
  <c r="B14" i="4"/>
  <c r="B15" i="4"/>
  <c r="B16" i="4"/>
  <c r="B17" i="4"/>
  <c r="B18" i="4"/>
  <c r="B66" i="4"/>
  <c r="B67" i="4"/>
  <c r="B68" i="4"/>
  <c r="B69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56" i="4"/>
  <c r="B57" i="4"/>
  <c r="B58" i="4"/>
  <c r="B61" i="4"/>
  <c r="B59" i="4"/>
  <c r="B62" i="4"/>
  <c r="B60" i="4"/>
  <c r="B63" i="4"/>
  <c r="B64" i="4"/>
  <c r="B65" i="4"/>
  <c r="B3" i="4"/>
  <c r="B2" i="4"/>
  <c r="B25" i="3" l="1"/>
  <c r="B26" i="3"/>
  <c r="B24" i="3"/>
  <c r="E85" i="4" l="1"/>
  <c r="D86" i="4" s="1"/>
  <c r="E86" i="4" s="1"/>
  <c r="E84" i="4" l="1"/>
  <c r="E83" i="4"/>
  <c r="E82" i="4"/>
  <c r="E81" i="4"/>
  <c r="E77" i="4" l="1"/>
  <c r="D78" i="4" s="1"/>
  <c r="E78" i="4" s="1"/>
  <c r="D79" i="4" s="1"/>
  <c r="E79" i="4" s="1"/>
  <c r="D80" i="4" s="1"/>
  <c r="E80" i="4" s="1"/>
  <c r="E19" i="4" l="1"/>
  <c r="E28" i="4"/>
  <c r="E33" i="4"/>
  <c r="E39" i="4"/>
  <c r="E44" i="4"/>
  <c r="E46" i="4"/>
  <c r="E51" i="4"/>
  <c r="E53" i="4"/>
  <c r="E8" i="4"/>
  <c r="E66" i="4"/>
  <c r="E71" i="4"/>
  <c r="E73" i="4"/>
  <c r="E56" i="4"/>
  <c r="E64" i="4"/>
  <c r="E2" i="4"/>
  <c r="D57" i="4" l="1"/>
  <c r="E57" i="4" s="1"/>
  <c r="D58" i="4" s="1"/>
  <c r="E58" i="4" s="1"/>
  <c r="D74" i="4"/>
  <c r="E74" i="4" s="1"/>
  <c r="D75" i="4" s="1"/>
  <c r="E75" i="4" s="1"/>
  <c r="D72" i="4"/>
  <c r="E72" i="4" s="1"/>
  <c r="D67" i="4"/>
  <c r="E67" i="4" s="1"/>
  <c r="D68" i="4" s="1"/>
  <c r="E68" i="4" s="1"/>
  <c r="D69" i="4" s="1"/>
  <c r="E69" i="4" s="1"/>
  <c r="D9" i="4"/>
  <c r="E9" i="4" s="1"/>
  <c r="D10" i="4" s="1"/>
  <c r="E10" i="4" s="1"/>
  <c r="D11" i="4" s="1"/>
  <c r="E11" i="4" s="1"/>
  <c r="D12" i="4" s="1"/>
  <c r="E12" i="4" s="1"/>
  <c r="D13" i="4" s="1"/>
  <c r="E13" i="4" s="1"/>
  <c r="D54" i="4"/>
  <c r="E54" i="4" s="1"/>
  <c r="D55" i="4" s="1"/>
  <c r="E55" i="4" s="1"/>
  <c r="D52" i="4"/>
  <c r="E52" i="4" s="1"/>
  <c r="D47" i="4"/>
  <c r="E47" i="4" s="1"/>
  <c r="D48" i="4" s="1"/>
  <c r="E48" i="4" s="1"/>
  <c r="D45" i="4"/>
  <c r="E45" i="4" s="1"/>
  <c r="D40" i="4"/>
  <c r="E40" i="4" s="1"/>
  <c r="D41" i="4" s="1"/>
  <c r="E41" i="4" s="1"/>
  <c r="D42" i="4" s="1"/>
  <c r="E42" i="4" s="1"/>
  <c r="D43" i="4" s="1"/>
  <c r="E43" i="4" s="1"/>
  <c r="D34" i="4"/>
  <c r="E34" i="4" s="1"/>
  <c r="D35" i="4" s="1"/>
  <c r="E35" i="4" s="1"/>
  <c r="D36" i="4" s="1"/>
  <c r="D29" i="4"/>
  <c r="E29" i="4" s="1"/>
  <c r="D30" i="4" s="1"/>
  <c r="E30" i="4" s="1"/>
  <c r="D31" i="4" s="1"/>
  <c r="E31" i="4" s="1"/>
  <c r="D32" i="4" s="1"/>
  <c r="E32" i="4" s="1"/>
  <c r="D20" i="4"/>
  <c r="E20" i="4" s="1"/>
  <c r="D21" i="4" s="1"/>
  <c r="E21" i="4" s="1"/>
  <c r="D22" i="4" s="1"/>
  <c r="E22" i="4" s="1"/>
  <c r="D23" i="4" s="1"/>
  <c r="E23" i="4" s="1"/>
  <c r="D24" i="4" s="1"/>
  <c r="E24" i="4" s="1"/>
  <c r="D25" i="4" s="1"/>
  <c r="E25" i="4" s="1"/>
  <c r="D26" i="4" s="1"/>
  <c r="E26" i="4" s="1"/>
  <c r="D27" i="4" s="1"/>
  <c r="E27" i="4" s="1"/>
  <c r="D3" i="4"/>
  <c r="E3" i="4" s="1"/>
  <c r="D5" i="4" s="1"/>
  <c r="E5" i="4" s="1"/>
  <c r="D6" i="4" s="1"/>
  <c r="E6" i="4" s="1"/>
  <c r="E14" i="4"/>
  <c r="D15" i="4" s="1"/>
  <c r="E15" i="4" s="1"/>
  <c r="D16" i="4" s="1"/>
  <c r="E16" i="4" s="1"/>
  <c r="F76" i="4"/>
  <c r="E36" i="4" l="1"/>
  <c r="D37" i="4" s="1"/>
  <c r="E37" i="4" s="1"/>
  <c r="D38" i="4" s="1"/>
  <c r="E38" i="4" s="1"/>
  <c r="D65" i="4"/>
  <c r="E65" i="4" s="1"/>
  <c r="D17" i="4"/>
  <c r="E17" i="4" s="1"/>
  <c r="D18" i="4" s="1"/>
  <c r="E18" i="4" s="1"/>
  <c r="D49" i="4"/>
  <c r="E49" i="4" s="1"/>
  <c r="D50" i="4" s="1"/>
  <c r="E50" i="4" s="1"/>
  <c r="D59" i="4" l="1"/>
  <c r="E59" i="4" s="1"/>
  <c r="D60" i="4" l="1"/>
  <c r="E60" i="4" s="1"/>
  <c r="D61" i="4" l="1"/>
  <c r="E61" i="4" s="1"/>
  <c r="D62" i="4" s="1"/>
  <c r="E62" i="4" s="1"/>
  <c r="D63" i="4" s="1"/>
  <c r="E63" i="4" s="1"/>
  <c r="F90" i="4"/>
  <c r="F91" i="4"/>
  <c r="F92" i="4"/>
  <c r="F93" i="4"/>
  <c r="F94" i="4"/>
  <c r="F95" i="4"/>
  <c r="F96" i="4"/>
  <c r="F97" i="4"/>
  <c r="F98" i="4"/>
  <c r="F103" i="4"/>
  <c r="F99" i="4"/>
  <c r="F100" i="4"/>
  <c r="F101" i="4"/>
  <c r="F102" i="4"/>
  <c r="F104" i="4"/>
  <c r="F105" i="4"/>
  <c r="F106" i="4"/>
  <c r="F107" i="4"/>
</calcChain>
</file>

<file path=xl/sharedStrings.xml><?xml version="1.0" encoding="utf-8"?>
<sst xmlns="http://schemas.openxmlformats.org/spreadsheetml/2006/main" count="3026" uniqueCount="923">
  <si>
    <t>Device commanded to a new state</t>
  </si>
  <si>
    <t>Permanent status changed for a switch</t>
  </si>
  <si>
    <t>Insert or remove a jumper</t>
  </si>
  <si>
    <t>Insert or remove a cut</t>
  </si>
  <si>
    <t>Capacitor Banks: On/Off</t>
  </si>
  <si>
    <t>Fault Indicators: Set/Reset</t>
  </si>
  <si>
    <t>Event is fired when standby processing is complete on the server</t>
  </si>
  <si>
    <t>DMSOP028</t>
  </si>
  <si>
    <t>DMSOP034</t>
  </si>
  <si>
    <t>DMSOP050</t>
  </si>
  <si>
    <t>Purpose</t>
  </si>
  <si>
    <t>Category</t>
  </si>
  <si>
    <t>AOR(s)</t>
  </si>
  <si>
    <t>Int(s)</t>
  </si>
  <si>
    <t>Flag(s)</t>
  </si>
  <si>
    <t>Real(s)</t>
  </si>
  <si>
    <t>RAVENNW</t>
  </si>
  <si>
    <t>{"REMOVED","PLACED"}</t>
  </si>
  <si>
    <t>NA</t>
  </si>
  <si>
    <t>{"OFF","ON"}</t>
  </si>
  <si>
    <t>stationId</t>
  </si>
  <si>
    <t xml:space="preserve">DMSOPER     </t>
  </si>
  <si>
    <t>Event Type Name</t>
  </si>
  <si>
    <t>DNAF Overloaded for station</t>
  </si>
  <si>
    <t>DNAF Overloaded for station (RETURN TO NORMAL)</t>
  </si>
  <si>
    <t>DNAF Overloaded for feeder</t>
  </si>
  <si>
    <t>DNAF Overloaded for feeder (RETURN TO NORMAL)</t>
  </si>
  <si>
    <t>DNAF Low Voltage Violation for station</t>
  </si>
  <si>
    <t>DNAF Low Voltage violation for station (RETURN TO NORMAL)</t>
  </si>
  <si>
    <t>DNAF Low Voltage violation for feeder</t>
  </si>
  <si>
    <t>DNAF Low Voltage violation for feeder (RETURN TO NORMAL)</t>
  </si>
  <si>
    <t>DNAF High Voltage violation for station</t>
  </si>
  <si>
    <t>DNAF High Voltage violation for station (RETURN TO NORMAL)</t>
  </si>
  <si>
    <t>DNAF High Voltage violation for feeder</t>
  </si>
  <si>
    <t>DNAF High Voltage violation for feeder (RETURN TO NORMAL)</t>
  </si>
  <si>
    <t>Capacitor position validation for feeder (failed)</t>
  </si>
  <si>
    <t>DPF failed to complete</t>
  </si>
  <si>
    <t>PRV completed</t>
  </si>
  <si>
    <t>PRV failed to complete</t>
  </si>
  <si>
    <t>newValue</t>
  </si>
  <si>
    <t>OMSOPER</t>
  </si>
  <si>
    <t>Add, Delete or Modify Annotation</t>
  </si>
  <si>
    <t>DNAF_F{1-5}</t>
  </si>
  <si>
    <t>DNAF_LV{1-5}</t>
  </si>
  <si>
    <t>DNAF_HV{1-5}</t>
  </si>
  <si>
    <t>DNAF_FI</t>
  </si>
  <si>
    <t>DNAF_SC</t>
  </si>
  <si>
    <t>DNAF_VI</t>
  </si>
  <si>
    <t>DMSSYS</t>
  </si>
  <si>
    <t>DNAF_CAPI</t>
  </si>
  <si>
    <t>DMS1</t>
  </si>
  <si>
    <t>DMS2</t>
  </si>
  <si>
    <t>phase</t>
  </si>
  <si>
    <t>stationId2</t>
  </si>
  <si>
    <t>stationId1</t>
  </si>
  <si>
    <t>phase1</t>
  </si>
  <si>
    <t>phase2</t>
  </si>
  <si>
    <t>address</t>
  </si>
  <si>
    <t>DMS3</t>
  </si>
  <si>
    <t>DMS4</t>
  </si>
  <si>
    <t>state</t>
  </si>
  <si>
    <t>DMS5</t>
  </si>
  <si>
    <t>DMS6</t>
  </si>
  <si>
    <t>DMS7</t>
  </si>
  <si>
    <t>DMS8</t>
  </si>
  <si>
    <t>DMS9</t>
  </si>
  <si>
    <t>DMS11</t>
  </si>
  <si>
    <t>oldValue</t>
  </si>
  <si>
    <t>Beginning 
Position</t>
  </si>
  <si>
    <t>Ending 
Position
(inclusive)</t>
  </si>
  <si>
    <t>Message
Format</t>
  </si>
  <si>
    <t>Field
Name</t>
  </si>
  <si>
    <t>FORMAT1</t>
  </si>
  <si>
    <t>FORMAT2</t>
  </si>
  <si>
    <t>Sort</t>
  </si>
  <si>
    <t>DMSOP001</t>
  </si>
  <si>
    <t>DMSOP002</t>
  </si>
  <si>
    <t>DMSOP003</t>
  </si>
  <si>
    <t>DMSOP004</t>
  </si>
  <si>
    <t>DMSOP005</t>
  </si>
  <si>
    <t>DMSOP006</t>
  </si>
  <si>
    <t>DMSOP049</t>
  </si>
  <si>
    <t>DMSOP052</t>
  </si>
  <si>
    <t>Comments</t>
  </si>
  <si>
    <t>Default Text String</t>
  </si>
  <si>
    <t>Example Default Message</t>
  </si>
  <si>
    <t>Format1</t>
  </si>
  <si>
    <t>altFeederName</t>
  </si>
  <si>
    <t>limitName</t>
  </si>
  <si>
    <t>Format2</t>
  </si>
  <si>
    <t>Field
Length</t>
  </si>
  <si>
    <t>Message Format</t>
  </si>
  <si>
    <t>role</t>
  </si>
  <si>
    <t>server</t>
  </si>
  <si>
    <t>Operator Can Inhibit</t>
  </si>
  <si>
    <t>no</t>
  </si>
  <si>
    <t>yes - by feeder</t>
  </si>
  <si>
    <t>yes - by feeder/device?</t>
  </si>
  <si>
    <t>yes - by station</t>
  </si>
  <si>
    <t>DMSOP054</t>
  </si>
  <si>
    <t>Capacitor Banks set to Inoperable/Operable</t>
  </si>
  <si>
    <t>DMSOPER</t>
  </si>
  <si>
    <t>{"OPERABLE","INOPERABLE"}</t>
  </si>
  <si>
    <t>Annotation
Type</t>
  </si>
  <si>
    <t>Cut RAVEN F8863 PH ABC placed, Name:xxxx
by user1  on host1</t>
  </si>
  <si>
    <t>RAVEN compswitch 45678 set to OFF
by user1 on host1</t>
  </si>
  <si>
    <t>&lt;role&gt; processing complete for server &lt;server&gt;</t>
  </si>
  <si>
    <t>STANDBY processing complete for server host1</t>
  </si>
  <si>
    <t>RAVEN F34523 capacitor position validation failed</t>
  </si>
  <si>
    <t>RAVEN F34523 capacitor position validation was successful</t>
  </si>
  <si>
    <t>stationId is equal to 8-char EMS station id</t>
  </si>
  <si>
    <t>Note: stationName is equal to 16-char DMS station name (or 8-char EMS station id if no DMS name exists)</t>
  </si>
  <si>
    <t>incidentId</t>
  </si>
  <si>
    <t>Group ID</t>
  </si>
  <si>
    <t>Object ID</t>
  </si>
  <si>
    <t>Location ID</t>
  </si>
  <si>
    <t>Composite ID</t>
  </si>
  <si>
    <t>CRC of DMS Station Name</t>
  </si>
  <si>
    <t>8-char EMS station name</t>
  </si>
  <si>
    <t>URL String</t>
  </si>
  <si>
    <t>DNOM device Id</t>
  </si>
  <si>
    <t>empty</t>
  </si>
  <si>
    <t>DNOM jumper Id</t>
  </si>
  <si>
    <t>DNOM cut Id</t>
  </si>
  <si>
    <t>DNOM fault/ground Id</t>
  </si>
  <si>
    <t>DNOM annotation Id</t>
  </si>
  <si>
    <t>DNOM station Id</t>
  </si>
  <si>
    <t>DNOM feeder Id</t>
  </si>
  <si>
    <t>Device Name</t>
  </si>
  <si>
    <r>
      <t xml:space="preserve">DMSOPER  </t>
    </r>
    <r>
      <rPr>
        <sz val="10"/>
        <color theme="1"/>
        <rFont val="Arial"/>
        <family val="2"/>
      </rPr>
      <t xml:space="preserve">                                            </t>
    </r>
    <r>
      <rPr>
        <sz val="10"/>
        <color indexed="12"/>
        <rFont val="Arial"/>
        <family val="2"/>
      </rPr>
      <t>Fixed from code:SetCategoryId(dmsOper)</t>
    </r>
  </si>
  <si>
    <r>
      <t>Permissiom area of the device from GetPermissionArea() function.</t>
    </r>
    <r>
      <rPr>
        <b/>
        <sz val="10"/>
        <rFont val="Arial"/>
        <family val="2"/>
      </rPr>
      <t>eg. RAVENNW (Configurable from station external/internals file.)</t>
    </r>
  </si>
  <si>
    <r>
      <t xml:space="preserve">{"CLOSE","OPEN"}  </t>
    </r>
    <r>
      <rPr>
        <sz val="10"/>
        <color indexed="12"/>
        <rFont val="Arial"/>
        <family val="2"/>
      </rPr>
      <t>Controlled by ALIAS cmd = flag1[1] from proxysrv.almmsg. Configurable.</t>
    </r>
  </si>
  <si>
    <r>
      <t xml:space="preserve">{"added","deleted","modified"}
string output depending on </t>
    </r>
    <r>
      <rPr>
        <sz val="10"/>
        <color indexed="12"/>
        <rFont val="Arial"/>
        <family val="2"/>
      </rPr>
      <t>annota,annotd,annotm</t>
    </r>
    <r>
      <rPr>
        <sz val="10"/>
        <rFont val="Arial"/>
        <family val="2"/>
      </rPr>
      <t xml:space="preserve"> if-else loop.</t>
    </r>
  </si>
  <si>
    <t>Incident Id</t>
  </si>
  <si>
    <t>configurable (see above)</t>
  </si>
  <si>
    <t>(configurable)
either CRC of DMS Station Name
or CRC of EMS Station Name + Feeder Name (if available)</t>
  </si>
  <si>
    <t>DMSOP055</t>
  </si>
  <si>
    <t>Station Model file was updated, but failed to load successfully</t>
  </si>
  <si>
    <t>RAVEN model file was updated, but failed to load
by user1 on host1</t>
  </si>
  <si>
    <t>LOCAL</t>
  </si>
  <si>
    <t>Station Name</t>
  </si>
  <si>
    <t>RAVEN station imbalance flow violation</t>
  </si>
  <si>
    <t>RAVEN station imbalance flow returned to normal</t>
  </si>
  <si>
    <t>Device failed to complete AFR command</t>
  </si>
  <si>
    <t>Device failed to complete FISR command</t>
  </si>
  <si>
    <t>AFR could not complete due to voltage or loading violation</t>
  </si>
  <si>
    <t>FISR could not complete due to voltage or loading violation</t>
  </si>
  <si>
    <t>OMS1</t>
  </si>
  <si>
    <t>OMS2</t>
  </si>
  <si>
    <t>OMS3</t>
  </si>
  <si>
    <t>trigger indicator</t>
  </si>
  <si>
    <t>DMS10</t>
  </si>
  <si>
    <t>DMSOP060</t>
  </si>
  <si>
    <t>SYSTEM</t>
  </si>
  <si>
    <t>ALARM</t>
  </si>
  <si>
    <t>RAVEN BREAKER 123456 AFR ovrld sln found</t>
  </si>
  <si>
    <t>{"hasFeeder","hasLimit"}</t>
  </si>
  <si>
    <t>{"hasFeeder", "hasDevice"}</t>
  </si>
  <si>
    <t>Overload solution for device NOT found by AFR</t>
  </si>
  <si>
    <t>Overload solution for device found by AFR</t>
  </si>
  <si>
    <t>hours</t>
  </si>
  <si>
    <t>attempt</t>
  </si>
  <si>
    <t>DMSOP007</t>
  </si>
  <si>
    <t>{"CLOSE", "OPEN"}</t>
  </si>
  <si>
    <t>Device phase commanded to new state</t>
  </si>
  <si>
    <t>{num changes}</t>
  </si>
  <si>
    <t>AF111</t>
  </si>
  <si>
    <t>AF112</t>
  </si>
  <si>
    <t>AF113</t>
  </si>
  <si>
    <t>AF115</t>
  </si>
  <si>
    <t>AF217</t>
  </si>
  <si>
    <t>AF313</t>
  </si>
  <si>
    <t>AF314</t>
  </si>
  <si>
    <t>AF323</t>
  </si>
  <si>
    <t>AF326</t>
  </si>
  <si>
    <t>FI111</t>
  </si>
  <si>
    <t>FI112</t>
  </si>
  <si>
    <t>FI113</t>
  </si>
  <si>
    <t>FI115</t>
  </si>
  <si>
    <t>FI217</t>
  </si>
  <si>
    <t>FI323</t>
  </si>
  <si>
    <t>PF113</t>
  </si>
  <si>
    <t>PF120</t>
  </si>
  <si>
    <t>PF121</t>
  </si>
  <si>
    <t>PF130</t>
  </si>
  <si>
    <t>PF131</t>
  </si>
  <si>
    <t>PF140</t>
  </si>
  <si>
    <t>PF141</t>
  </si>
  <si>
    <t>PF150</t>
  </si>
  <si>
    <t>PF151</t>
  </si>
  <si>
    <t>PF160</t>
  </si>
  <si>
    <t>PF161</t>
  </si>
  <si>
    <t>PF220</t>
  </si>
  <si>
    <t>PF221</t>
  </si>
  <si>
    <t>PF230</t>
  </si>
  <si>
    <t>PF231</t>
  </si>
  <si>
    <t>PF240</t>
  </si>
  <si>
    <t>PF241</t>
  </si>
  <si>
    <t>PF251</t>
  </si>
  <si>
    <t>PF261</t>
  </si>
  <si>
    <t>PF280</t>
  </si>
  <si>
    <t>PF281</t>
  </si>
  <si>
    <t>PV112</t>
  </si>
  <si>
    <t>PV113</t>
  </si>
  <si>
    <t>PV371</t>
  </si>
  <si>
    <t>VV112</t>
  </si>
  <si>
    <t>VV113</t>
  </si>
  <si>
    <t>VV126</t>
  </si>
  <si>
    <t>VV217</t>
  </si>
  <si>
    <t>VV277</t>
  </si>
  <si>
    <t>Too many capacitor controls issued in XX hours</t>
  </si>
  <si>
    <t>Too many capacitor controls issued in a day</t>
  </si>
  <si>
    <t>Too many tap changes issued in a day</t>
  </si>
  <si>
    <t>Too many tap changes issued in XX hours</t>
  </si>
  <si>
    <t>Too many "controls not available" in a day</t>
  </si>
  <si>
    <t>Too many infeasible solutions in a row</t>
  </si>
  <si>
    <t>Too many infeasible solutions in a day</t>
  </si>
  <si>
    <t>Too many discarded solutions in a row</t>
  </si>
  <si>
    <t>Too many discarded solutions in a day</t>
  </si>
  <si>
    <t>RAVEN F34523 Too many infeasible solutions in a day</t>
  </si>
  <si>
    <t>RAVEN F34523 Too many infeasible solutions in a row</t>
  </si>
  <si>
    <t>RAVEN F34523 Too many discarded solutions in a row</t>
  </si>
  <si>
    <t>RAVEN F34523 Too many discarded solutions in a day</t>
  </si>
  <si>
    <t>RAVEN F34523 Too many "cntrls not available" in a day</t>
  </si>
  <si>
    <t>RAVEN 123456 Delta-V mismatch at controller</t>
  </si>
  <si>
    <t>RAVEN 123456 Too many tap changes per day</t>
  </si>
  <si>
    <t>RAVEN 123456 Too many cap changes per day</t>
  </si>
  <si>
    <t>RAVEN 123456 Too many cap changes in 2 hours</t>
  </si>
  <si>
    <t>RAVEN 123456 Too many tap changes in 2 hours</t>
  </si>
  <si>
    <t>VV136</t>
  </si>
  <si>
    <t>VV146</t>
  </si>
  <si>
    <t>VV156</t>
  </si>
  <si>
    <t>VV166</t>
  </si>
  <si>
    <t>VV2106</t>
  </si>
  <si>
    <t>VV473</t>
  </si>
  <si>
    <t>VV4106</t>
  </si>
  <si>
    <t>VV4116</t>
  </si>
  <si>
    <t>VV573</t>
  </si>
  <si>
    <t>VV5106</t>
  </si>
  <si>
    <t>VV5116</t>
  </si>
  <si>
    <t>VV578</t>
  </si>
  <si>
    <t>Tap changer move cancelled</t>
  </si>
  <si>
    <t>Actual Delta-V mismatch at capacitor controller</t>
  </si>
  <si>
    <t>VV491</t>
  </si>
  <si>
    <t>VV490</t>
  </si>
  <si>
    <t>Actual Delta-V mismatch at capacitor controller (Return to Normal)</t>
  </si>
  <si>
    <t>PV326</t>
  </si>
  <si>
    <t>Protection setting group mismatch for device</t>
  </si>
  <si>
    <t>{"no change to normal state", "normal state chng pending"}</t>
  </si>
  <si>
    <t>{"UNSET", "SET"}</t>
  </si>
  <si>
    <t>DMSOP056</t>
  </si>
  <si>
    <t>Distribution transformer: connected/disconnected</t>
  </si>
  <si>
    <t>RAVEN dist TF 23456 DISCONNECTED by user1 on host1</t>
  </si>
  <si>
    <t>{"DISCONNECTED","CONNECTED"}</t>
  </si>
  <si>
    <t>DMSOP010</t>
  </si>
  <si>
    <t>Regulator and LTC transformer On/Off</t>
  </si>
  <si>
    <t>annotation name</t>
  </si>
  <si>
    <t>annotation comment</t>
  </si>
  <si>
    <r>
      <t xml:space="preserve">DNAF </t>
    </r>
    <r>
      <rPr>
        <sz val="10"/>
        <color theme="1"/>
        <rFont val="Arial"/>
        <family val="2"/>
      </rPr>
      <t xml:space="preserve">application </t>
    </r>
    <r>
      <rPr>
        <sz val="10"/>
        <color theme="1"/>
        <rFont val="Arial"/>
        <family val="2"/>
      </rPr>
      <t>configuration w</t>
    </r>
    <r>
      <rPr>
        <sz val="10"/>
        <color theme="1"/>
        <rFont val="Arial"/>
        <family val="2"/>
      </rPr>
      <t>as</t>
    </r>
    <r>
      <rPr>
        <sz val="10"/>
        <color theme="1"/>
        <rFont val="Arial"/>
        <family val="2"/>
      </rPr>
      <t xml:space="preserve"> changed</t>
    </r>
    <phoneticPr fontId="11" type="noConversion"/>
  </si>
  <si>
    <t>{PRV, FL, LVM, DPF, AFR, FISR}</t>
    <phoneticPr fontId="11" type="noConversion"/>
  </si>
  <si>
    <t>DMSOP011</t>
  </si>
  <si>
    <t>DMSOP012</t>
  </si>
  <si>
    <t>Regulator and LTC transformer Blocked/Unblocked</t>
  </si>
  <si>
    <t>Regulator voltage reduction On/Off</t>
  </si>
  <si>
    <t>{"UNBLOCKED","BLOCKED"}</t>
  </si>
  <si>
    <t>RAVEN BREAKER 123456 AFR CMD FAILURE. CMD:  OPEN</t>
  </si>
  <si>
    <t>RAVEN F34523 FISR STARTED (USER REQUEST)</t>
  </si>
  <si>
    <t>RAVEN F34523 FISR DISABLED. REASON: RECLOSER 123456 OVERLOADED</t>
  </si>
  <si>
    <t>RAVEN F34523 AFR STARTED (OVERLOAD DETECTION)</t>
  </si>
  <si>
    <t>FI122</t>
  </si>
  <si>
    <t>FISR plan implementation ends</t>
  </si>
  <si>
    <t>AF122</t>
  </si>
  <si>
    <t>AFR plan implementation ends</t>
  </si>
  <si>
    <t>DMSOP061</t>
  </si>
  <si>
    <t xml:space="preserve">{"CLOSE","OPEN"} </t>
  </si>
  <si>
    <t>DMSOP057</t>
  </si>
  <si>
    <t>Device confirmed open/closed</t>
  </si>
  <si>
    <t>Distribution transformer: confirm connected/disconnected</t>
  </si>
  <si>
    <t>RAVEN dist TF 23456 CONFIRM CONNECTED by user1 on host1</t>
  </si>
  <si>
    <t>DMSOP062</t>
  </si>
  <si>
    <t>Device phase confirmed open/closed</t>
  </si>
  <si>
    <t>RAVEN SWITCH 203454 PH AC CONFIRM OPEN
BY user1 ON host1</t>
  </si>
  <si>
    <t>DPF has not been solved recently</t>
  </si>
  <si>
    <t>minutes</t>
  </si>
  <si>
    <t>PF696</t>
  </si>
  <si>
    <t>SOUTH DPF has not been solved in the last 60 minutes</t>
  </si>
  <si>
    <t>VV781</t>
  </si>
  <si>
    <t>Capacitor position validation for feeder (RETURN TO NORMAL)</t>
  </si>
  <si>
    <t>PF250</t>
  </si>
  <si>
    <t>PF260</t>
  </si>
  <si>
    <t>Flow Imbalance Violation for feeder (RETURN TO NORMAL)</t>
  </si>
  <si>
    <t>Flow Imbalance Violation for feeder</t>
  </si>
  <si>
    <t>Voltage Imbalance Violation for feeder (RETURN TO NORMAL)</t>
  </si>
  <si>
    <t>Voltage Imbalance Violation for feeder</t>
  </si>
  <si>
    <t>PV370</t>
  </si>
  <si>
    <t>OMSOP041</t>
  </si>
  <si>
    <t>NetServer Overloaded</t>
  </si>
  <si>
    <t>OMS4</t>
  </si>
  <si>
    <t>details</t>
  </si>
  <si>
    <t>NetServer Overloaded: [Thread(&lt;number&gt;)] [VM(&lt;number&gt;)] [WorkingVM(&lt;number&gt;)]</t>
  </si>
  <si>
    <t>NetServer Overloaded: Thread(699)
either one or more conditions maybe listed</t>
  </si>
  <si>
    <t>feederid</t>
  </si>
  <si>
    <t>DMSOP013</t>
  </si>
  <si>
    <t>DMSOP014</t>
  </si>
  <si>
    <t>DMSOP015</t>
  </si>
  <si>
    <t>Regulator device: remote/local</t>
  </si>
  <si>
    <t>RAVEN REGULATOR 203454 SET TO REMOTE
by user1 on host1</t>
  </si>
  <si>
    <t>{"LOCAL","REMOTE"}</t>
  </si>
  <si>
    <t>RAVEN regulator 203454 STEP AT 6
by user1 on host1</t>
  </si>
  <si>
    <t>TapStep</t>
  </si>
  <si>
    <t>Regulator device: supervisory cutout</t>
  </si>
  <si>
    <t>Regulator device: tap step change</t>
  </si>
  <si>
    <t>RAVEN regulator 203454 SUP CUTOUT ON
by user1 on host1</t>
  </si>
  <si>
    <t>OMS5</t>
  </si>
  <si>
    <t>stepNumber</t>
  </si>
  <si>
    <t>Restoration step number of the incident.</t>
  </si>
  <si>
    <t>DMSOP008</t>
  </si>
  <si>
    <t>A client dynamic is not in sync for some period of time</t>
  </si>
  <si>
    <t>Dynamic of NetClient at 127.0.0.1 is not in sync for 11 seconds by DMSALL on host1</t>
  </si>
  <si>
    <t>DMSOP009</t>
  </si>
  <si>
    <t>A server thread has backlog over a value for some period of time</t>
  </si>
  <si>
    <t>InQueue of Ntp thread01's backlog is over 5  (10) for 15 seconds  BY user1 ON host1</t>
  </si>
  <si>
    <t>VV1140</t>
  </si>
  <si>
    <t>VV1143</t>
  </si>
  <si>
    <t>Energized Sensor Zero Voltage Measurement Return To Normal</t>
  </si>
  <si>
    <t>Energized Sensor Zero Voltage Measurement</t>
  </si>
  <si>
    <t>RAVEN ENERGIZED VOLT SENSOR SEN123456 READ ZERO VOLT</t>
  </si>
  <si>
    <t>RAVEN ENERGIZED VOLT SENSOR SEN123456 READ ZERO VOLT RETURNED TO NORMAL</t>
  </si>
  <si>
    <t>OMSOP042</t>
  </si>
  <si>
    <t>OMSOP043</t>
  </si>
  <si>
    <t>OMSOP044</t>
  </si>
  <si>
    <t>OMSOP045</t>
  </si>
  <si>
    <t>Unacknowledged momentary incident created</t>
  </si>
  <si>
    <t>Unacknowledged sustained incident created</t>
  </si>
  <si>
    <t>Incident affects critical customers</t>
  </si>
  <si>
    <t>Emergency call received</t>
  </si>
  <si>
    <t>EMERGENCY CALL RECEIVED</t>
  </si>
  <si>
    <t>UNACKNOWLEDGED SUSTAINED INCIDENT 2015000238 CREATED   FOR STATION RAVEN ON DEVICE 12345</t>
  </si>
  <si>
    <t>INCIDENT 2015000238 AFFECTS CRITICAL CUSTOMERS</t>
  </si>
  <si>
    <t xml:space="preserve"> NA</t>
  </si>
  <si>
    <t>OMS6</t>
  </si>
  <si>
    <t>OMS7</t>
  </si>
  <si>
    <t>OMSOP046</t>
  </si>
  <si>
    <t>Customer suspended</t>
  </si>
  <si>
    <t>Customer Key</t>
  </si>
  <si>
    <t>OMSOP047</t>
  </si>
  <si>
    <t>Customer unsuspended</t>
  </si>
  <si>
    <t>Customer suspended, account 1234567890, meter 87654321</t>
  </si>
  <si>
    <t>Customer unsuspended, account 1234567890, meter 87654321</t>
  </si>
  <si>
    <t>PF2120</t>
  </si>
  <si>
    <t>PF2121</t>
  </si>
  <si>
    <t>DNAF_BF</t>
  </si>
  <si>
    <t>PF5116</t>
  </si>
  <si>
    <t>RAVEN 13456 TAP POS ESTIMATION SRC VOLTAGE ADJUSTED</t>
  </si>
  <si>
    <t>OMS8</t>
  </si>
  <si>
    <t>acctNumber</t>
  </si>
  <si>
    <t>meterNumber</t>
  </si>
  <si>
    <t>FL112</t>
  </si>
  <si>
    <t>Fault location calculation completed successfully (is shown only when fault location event happens)</t>
  </si>
  <si>
    <t>RAVEN FL CALCULATIONS COMPLETED SUCCESSFULLY</t>
  </si>
  <si>
    <t>DNAF_FL</t>
  </si>
  <si>
    <t>FL113</t>
  </si>
  <si>
    <t>FL115</t>
  </si>
  <si>
    <t>REAVEN FL STARTED</t>
  </si>
  <si>
    <t>Fault location failed to complete (is shown only when fault location event happens). Should display failure reason.</t>
  </si>
  <si>
    <t>Fault location started (is shown only when fault location event happens)</t>
  </si>
  <si>
    <t>RAVEN BREAKER 123456: a PRV application protection zone violation has been detected</t>
  </si>
  <si>
    <t>Protection zone violation has been detected (this is detected by the PRV application, device is not in a proper state)</t>
  </si>
  <si>
    <t>RAVEN BREAKER 123456: a PRV application protection zone violation returned to normal</t>
  </si>
  <si>
    <t>Protection zone violation returned to normal (this is detected by the PRV application, device is now in a proper state due to a change in the network or a change in the protection settings)</t>
  </si>
  <si>
    <t>DMSOP063</t>
  </si>
  <si>
    <t>{"CONNECTED","DISCONNECTED"}</t>
  </si>
  <si>
    <t>RAVEN SWITCH 203454 set to OPEN
by user1 on IDMS20
If device name is not available:
RAVEN SWITCH ID: 22131665 set to OPEN
by user1 on IDMS20</t>
  </si>
  <si>
    <t>RAVEN switch 203454 PH AC set to OPEN
by user1 on host1 on IDMS20
If device name is not available:
RAVEN switch ID: 22131665 PH AC set to OPEN
by user1 on host1 on IDMS20</t>
  </si>
  <si>
    <t>&lt;StationName&gt; station imbalance flow returned to normal</t>
  </si>
  <si>
    <t>&lt;StationName&gt; station imbalance flow violation</t>
  </si>
  <si>
    <t>&lt;StationName&gt; ENERGIZED VOLT SENSOR &lt;device&gt; READING ZERO VOLT  RETURNED TO NORMAL</t>
  </si>
  <si>
    <t>&lt;StationName&gt; ENERGIZED VOLT SENSOR &lt;device&gt; READ ZERO VOLT</t>
  </si>
  <si>
    <t>StationName</t>
  </si>
  <si>
    <t>StationName1</t>
  </si>
  <si>
    <t>StationName2</t>
  </si>
  <si>
    <t>StationName (dms)</t>
  </si>
  <si>
    <t>DeviceType</t>
  </si>
  <si>
    <t>&lt;StationName&gt; &lt;DeviceID&gt; TAP POS ESTIMATION SRC VOLTAGE ADJUSTED</t>
  </si>
  <si>
    <t>DeviceID</t>
  </si>
  <si>
    <t>&lt;StationName&gt; regulator &lt;DeviceID&gt; STEP AT &lt;stepVal&gt;
by &lt;User&gt; on &lt;PcName&gt;</t>
  </si>
  <si>
    <t>&lt;StationName&gt; regulator &lt;DeviceID&gt; SUP CUTOUT &lt;Flag&gt;
by &lt;User&gt; on &lt;PcName&gt;</t>
  </si>
  <si>
    <t>&lt;StationName&gt; model file was updated, but failed to load
by &lt;User&gt; on &lt;PcName&gt;</t>
  </si>
  <si>
    <t>&lt;StationName&gt; dist TF &lt;DeviceID&gt; &lt;cmd&gt; by &lt;User&gt; on &lt;PcName&gt;</t>
  </si>
  <si>
    <t>&lt;StationName&gt; dist TF &lt;DeviceID&gt; CONFIRM &lt;cmd&gt; by &lt;User&gt; on &lt;PcName&gt;</t>
  </si>
  <si>
    <t>RAVEN SWITCH 203454 SET TO CONFIRM OPEN
BY user1 on IDMS20
If device name is not available:
RAVEN SWITCH ID: 22131665 SET TO CONFIRM OPEN BY user1 on IDMS20</t>
  </si>
  <si>
    <t>&lt;StationName&gt; &lt;FeederID&gt;AFR STARTED &lt;triggerStr&gt;</t>
  </si>
  <si>
    <t xml:space="preserve">&lt;StationName&gt; &lt;FeederID&gt; FISR DISABLED. REASON: &lt;reason&gt; </t>
  </si>
  <si>
    <t>&lt;StationName&gt; &lt;FeederID&gt; capacitor position validation was successful</t>
  </si>
  <si>
    <t>&lt;StationName&gt; &lt;FeederID&gt; capacitor position validation failed</t>
  </si>
  <si>
    <t>&lt;StationName&gt; &lt;FeederID&gt; application PRV successfully completed</t>
  </si>
  <si>
    <t>&lt;StationName&gt; &lt;FeederID&gt; Too many infeasible solutions in a row</t>
  </si>
  <si>
    <t>&lt;StationName&gt; &lt;FeederID&gt; Too many infeasible solutions in a day</t>
  </si>
  <si>
    <t>&lt;StationName&gt; &lt;FeederID&gt; Too many discarded solutions in a row</t>
  </si>
  <si>
    <t>&lt;StationName&gt; &lt;FeederID&gt; Too many discarded solutions in a day</t>
  </si>
  <si>
    <t>&lt;StationName&gt; &lt;FeederID&gt; Too many "cntrls not available" in a day</t>
  </si>
  <si>
    <t>FeederID1</t>
  </si>
  <si>
    <t>FeederID2</t>
  </si>
  <si>
    <t>FeederID</t>
  </si>
  <si>
    <t>&lt;StationID&gt; &lt;DeviceID&gt; Delta-V mismatch at controller</t>
  </si>
  <si>
    <t>&lt;StationID&gt; &lt;DeviceID&gt; Too many cap changes per day</t>
  </si>
  <si>
    <t>&lt;StationID&gt; &lt;DeviceID&gt; Too many tap changes per day</t>
  </si>
  <si>
    <t>&lt;StationID&gt; FL started</t>
  </si>
  <si>
    <t>Jumper J123456 placed from RAVEN F8863 PH ABC to RAVEN F8863 PH ABC by user1 on host1</t>
  </si>
  <si>
    <t>&lt;StationName&gt; &lt;DeviceType&gt; &lt;DeviceName or DeviceID&gt;  set to &lt;Flag&gt; by &lt;User&gt; on &lt;PcName&gt;</t>
  </si>
  <si>
    <t>INCIDENT &lt;IncidentID&gt; AFFECTS CRITICAL CUSTOMERS</t>
  </si>
  <si>
    <t>Customer suspended, account &lt;AccountNumber&gt;, meter &lt;MeterNumber&gt;</t>
  </si>
  <si>
    <t>Customer unsuspended, account &lt;AccountNumber&gt;, meter &lt;MeterNumber&gt;</t>
  </si>
  <si>
    <t>Dynamic of &lt;ClientType&gt; at &lt;ClientIP&gt; is not sync for &lt;Elapsed&gt; seconds by &lt;User&gt; on &lt;PcName&gt;</t>
  </si>
  <si>
    <t>&lt;StationName&gt; &lt;FeederID&gt; flow imbalance violation</t>
  </si>
  <si>
    <t>RAVEN F34523 flow imbalance violation</t>
  </si>
  <si>
    <t>&lt;StationName&gt; &lt;FeederID&gt; flow imbalance returned to normal</t>
  </si>
  <si>
    <t>RAVEN F34523 flow imbalance returned to normal</t>
  </si>
  <si>
    <t>RAVEN F34523 high volt viol LVL 2 - EMERGENCY  was NORMAL, now LVL 2</t>
  </si>
  <si>
    <t>RAVEN F34523 low volt viol returned to normal was LVL 2, now RETURN TO NORMAL</t>
  </si>
  <si>
    <t>RAVEN F34523 high volt viol returned to normal was LVL 2, now RETURN TO NORMAL</t>
  </si>
  <si>
    <t>&lt;StationName&gt; &lt;FeederID&gt; high volt viol returned to normal was LVL &lt;OldValue&gt;, now RETURN TO NORMAL</t>
  </si>
  <si>
    <t>RAVEN F34523 low volt viol LVL 1 - NORMAL  was NORMAL, now LVL 1</t>
  </si>
  <si>
    <t>&lt;StationName&gt; &lt;FeederID&gt; high volt viol LVL &lt;NewValue&gt; - &lt;NewLimitName&gt;  Was &lt;OldLimitName&gt;, now LVL &lt;NewValue&gt;</t>
  </si>
  <si>
    <t>&lt;StationID&gt; &lt;TypeGroup&gt; &lt;device&gt; AFR ovrld sln found</t>
  </si>
  <si>
    <t>&lt;StationID&gt; &lt;DeviceID&gt;: a PRV application protection zone violation returned to normal</t>
  </si>
  <si>
    <t>&lt;StationID&gt; &lt;DeviceID&gt;: a PRV application protection zone violation has been detected</t>
  </si>
  <si>
    <t>&lt;StationName&gt; &lt;FeederID&gt; FISR failed to complete  Reason: &lt;Reason&gt;</t>
  </si>
  <si>
    <t>RAVEN F34523 FISR failed to complete  Reason: NOT ENOUGH FAULT INFORMATION</t>
  </si>
  <si>
    <t>&lt;StationName&gt; &lt;FeederID&gt; FISR STARTED &lt;TriggerStr&gt;</t>
  </si>
  <si>
    <t>Jumper &lt;Name&gt; &lt;Command&gt; from &lt;StationID1&gt; &lt;FeederID1&gt; PH &lt;Phase1&gt; to &lt;StationID2&gt; &lt;FeederID2&gt; PH &lt;Phase2&gt; by &lt;User&gt; on &lt;PcName&gt;</t>
  </si>
  <si>
    <t>Cut &lt;StationName&gt; &lt;FeederID&gt; PH &lt;Phase&gt; &lt;Command&gt;, Name &lt;Name&gt; by &lt;User&gt; on &lt;PcName&gt;</t>
  </si>
  <si>
    <t>&lt;StationName&gt; &lt;FeederID&gt; &lt;GroundOrFault&gt; PH &lt;Phase&gt; &lt;Flag&gt;, Name: &lt;Name&gt; by &lt;User&gt; on &lt;PcName&gt;</t>
  </si>
  <si>
    <t>&lt;Queue&gt; of &lt;ClientThread&gt;'s backlog is over &lt;BacklogLimit&gt; (&lt;CurBacklog&gt;) for &lt;ElapseTime&gt; seconds  BY &lt;User&gt; ON &lt;PcName&gt;</t>
  </si>
  <si>
    <t>&lt;StationName&gt; regulator &lt;DeviceID&gt; set to &lt;Flag&gt; by &lt;User&gt; on &lt;PcName&gt;</t>
  </si>
  <si>
    <t>RAVEN regulator 203454 set to OFF by user1 on host1</t>
  </si>
  <si>
    <t>&lt;StationName&gt; regulator &lt;DeviceID&gt; &lt;Flag&gt; by &lt;User&gt; on &lt;PcName&gt;</t>
  </si>
  <si>
    <t>RAVEN regulator 203454 unblocked by user1 on host1</t>
  </si>
  <si>
    <t>&lt;StationName&gt; regulator &lt;DeviceID&gt; volt reduct &lt;Flag&gt; by &lt;User&gt; on &lt;PcName&gt;</t>
  </si>
  <si>
    <t>RAVEN regulator 203454 volt reduct OFF by user1 on host1</t>
  </si>
  <si>
    <t>&lt;StationName&gt; regulator &lt;DeviceID&gt; SET TO &lt;cmd&gt; by &lt;User&gt; on &lt;PcName&gt;</t>
  </si>
  <si>
    <t>&lt;StationName&gt; capacitor &lt;DeviceID&gt; set to &lt;Flag&gt; by &lt;User&gt; on &lt;PcName&gt;</t>
  </si>
  <si>
    <t>RAVEN capacitor 5542178 made  INOPERABLE
by user1 on host1</t>
  </si>
  <si>
    <t>&lt;StationName&gt; capacitor &lt;DeviceID&gt; made &lt;Flag&gt; by &lt;User&gt; on &lt;PcName&gt;</t>
  </si>
  <si>
    <t>&lt;StationName&gt; &lt;FeederID&gt; &lt;GroundOrFault&gt; PH &lt;Phases&gt; REMOVED,  NAME &lt;name&gt; BY &lt;User&gt; ON &lt;PcName&gt;</t>
  </si>
  <si>
    <t>&lt;StationName&gt; compswitch &lt;DeviceID&gt; set to &lt;compstate&gt; by &lt;User&gt; on &lt;PcName&gt;</t>
  </si>
  <si>
    <t>&lt;StationName&gt; fault ind &lt;DeviceID&gt; set to &lt;Flag&gt; by &lt;User&gt; on &lt;PcName&gt;</t>
  </si>
  <si>
    <t>RAVEN fault ind 23789 set to UNSET by user1 on host1</t>
  </si>
  <si>
    <t>RAVEN capacitor 5542178 set to ON by user1 on host1</t>
  </si>
  <si>
    <t>%&lt;ClientType&gt; at %&lt;ClientIP&gt; connection status: %&lt;cmd&gt;   BY %&lt;User&gt; ON %&lt;PcName&gt;</t>
  </si>
  <si>
    <t>PF3106</t>
  </si>
  <si>
    <t>AF123</t>
  </si>
  <si>
    <t>AF125</t>
  </si>
  <si>
    <t>AF128</t>
  </si>
  <si>
    <t>AF129</t>
  </si>
  <si>
    <t>AF237</t>
  </si>
  <si>
    <t>AF238</t>
  </si>
  <si>
    <t>AF2310</t>
  </si>
  <si>
    <t>AF242</t>
  </si>
  <si>
    <t>AF241</t>
  </si>
  <si>
    <t>FI123</t>
  </si>
  <si>
    <t>FI125</t>
  </si>
  <si>
    <t>FI128</t>
  </si>
  <si>
    <t>FI129</t>
  </si>
  <si>
    <t>FI237</t>
  </si>
  <si>
    <t>FI238</t>
  </si>
  <si>
    <t>FI2310</t>
  </si>
  <si>
    <t>FI242</t>
  </si>
  <si>
    <t>FI241</t>
  </si>
  <si>
    <t>FI326</t>
  </si>
  <si>
    <t>VV1130</t>
  </si>
  <si>
    <t>VV122</t>
  </si>
  <si>
    <t>VV1106</t>
  </si>
  <si>
    <t>VV2122</t>
  </si>
  <si>
    <t>VV2120</t>
  </si>
  <si>
    <t>UNACKNOWLEDGED MOMENTARY INCIDENT 2015000238 CREATED FOR STATION RAVEN ON DEVICE 12345</t>
  </si>
  <si>
    <t>RAVEN F34523 AFR oper prevented due to limit
limit name: EMERGENCY</t>
  </si>
  <si>
    <t>&lt;StationName&gt; &lt;FeederID&gt; AFR oper prevented due to limit
limit name: &lt;LimitName&gt;</t>
  </si>
  <si>
    <t>&lt;StationName&gt; &lt;FeederID&gt; AFR completed &lt;ResultString&gt;</t>
  </si>
  <si>
    <t>RAVEN F34523 AFR completed PLAN FOUND W/ FLOW VIOLATIONS NOT FIXED BY LVM - PENDING APPROVAL</t>
  </si>
  <si>
    <t>RAVEN F34523  AFR failed to complete reason: NO OVERLOAD COMPONENT</t>
  </si>
  <si>
    <t>&lt;StationName&gt; AFR PLAN IMPLEMENTATION COMPLETED</t>
  </si>
  <si>
    <t>RAVEN AFR PLAN IMPLEMENTATION COMPLETED</t>
  </si>
  <si>
    <t>AFR plan implementation starts</t>
  </si>
  <si>
    <t>&lt;StationName&gt; AFR PLAN IMPLEMENTATION STARTED</t>
  </si>
  <si>
    <t>RAVEN AFR PLAN IMPLEMENTATION STARTED</t>
  </si>
  <si>
    <t>AFR plan implementation approved</t>
  </si>
  <si>
    <t>&lt;StationName&gt; AFR PLAN &lt;PlanID&gt; approved comment: &lt;Comment&gt;</t>
  </si>
  <si>
    <t>RAVEN AFR PLAN AFR_RAVEN1468610189_1 APPROVED COMMENT: --</t>
  </si>
  <si>
    <t>AFR plan implementation failed on device</t>
  </si>
  <si>
    <t>&lt;StationName&gt; AFR PLAN IMPLEMENTATION FAILED ON &lt;DeviceID&gt;</t>
  </si>
  <si>
    <t>RAVEN AFR PLAN IMPLEMENTATION FAILED ON F34523</t>
  </si>
  <si>
    <t>AFR plan implementation rejected</t>
  </si>
  <si>
    <t>&lt;StationName&gt; AFR PLAN &lt;PlanID&gt; rejected comment: &lt;Comment&gt;</t>
  </si>
  <si>
    <t>RAVEN F34523 AFR DISABLED REASON: RECLOSER 123456 OVERLOADED</t>
  </si>
  <si>
    <t>AFR is disabled for feeder by SCADA DA status measurement</t>
  </si>
  <si>
    <t>AFR is disabled for feeder by DMS</t>
  </si>
  <si>
    <t>&lt;StationName&gt; &lt;FeederID&gt; AFR DISABLED REASON: &lt;Reason&gt;</t>
  </si>
  <si>
    <t>AFR enable/disabled for feeder by SCADA DA status measurement not changed</t>
  </si>
  <si>
    <t>&lt;StationName&gt; &lt;FeederID&gt; AFR ENABLE/DISABLE STATUS NO CHANGE REASON: &lt;Reason&gt;</t>
  </si>
  <si>
    <t>RAVEN F34523 AFR DISABLED REASON: reason</t>
  </si>
  <si>
    <t>RAVEN F34523 AFR ENABLE/DISABLE STATUS NO CHANGE REASON: reason</t>
  </si>
  <si>
    <t>&lt;StationName&gt; &lt;FeederID&gt; AFR ENABLED REASON: &lt;Reason&gt;</t>
  </si>
  <si>
    <t>RAVEN F34523 AFR ENABLED REASON: reason</t>
  </si>
  <si>
    <t>AFR plan found with violations that can be addressed with LVM</t>
  </si>
  <si>
    <t>&lt;StationName&gt; &lt;FeederID&gt; AFR PLAN FOUND. LVM VOLTAGE CORRECTIONS REQUIRED</t>
  </si>
  <si>
    <t>RAVEN F34523 AFR PLAN FOUND. LVM VOLTAGE CORRECTIONS REQUIRED</t>
  </si>
  <si>
    <t>AFR plan found, but violations cannot be addressed with LVM</t>
  </si>
  <si>
    <t>&lt;StationName&gt; &lt;FeederID&gt; VOLTAGE CONSTRAINTS CANNOT BE MAINTAINED BY LVM</t>
  </si>
  <si>
    <t>RAVEN F34523 VOLTAGE CONSTRAINTS CANNOT BE MAINTAINED BY LVM</t>
  </si>
  <si>
    <t>RAVEN BREAKER 123456 AFR ovrld sln not found</t>
  </si>
  <si>
    <t>&lt;StationID&gt; &lt;TypeGroup&gt; &lt;device&gt; AFR ovrld sln not found</t>
  </si>
  <si>
    <t>&lt;StationID&gt; &lt;TypeGroup&gt; &lt;device&gt; AFR CMD FAILURE. CMD:  &lt;Command&gt;</t>
  </si>
  <si>
    <t>&lt;StationID&gt; &lt;TypeGroup&gt; &lt;device&gt; AFR LOW FLOW
FLOW OF &lt;FlowLevel&gt; A BELOW LIMIT OF &lt;FlowLimit&gt; A</t>
  </si>
  <si>
    <t>RAVEN BREAKER 123456 AFR LOW FLOW
FLOW OF 10 A BELOW LIMIT OF 20 A</t>
  </si>
  <si>
    <t>Device has low current flow. May indicate switch failure to close.</t>
  </si>
  <si>
    <t>RAVEN F34523 FISR oper prevented due to limit
limit name: EMERGENCY</t>
  </si>
  <si>
    <t>&lt;StationName&gt; &lt;FeederID&gt; FISR oper prevented due to limit
limit name: &lt;LimitName&gt;</t>
  </si>
  <si>
    <t>&lt;StationName&gt; &lt;FeederID&gt; FISR COMPLETED &lt;ResultString&gt;</t>
  </si>
  <si>
    <t>RAVEN F34523 FISR COMPLETED NO PLAN - NO TIE SWITCHES</t>
  </si>
  <si>
    <t>&lt;StationName&gt; FISR PLAN IMPLEMENTATION COMPLETED</t>
  </si>
  <si>
    <t>RAVEN FISR PLAN IMPLEMENTATION COMPLETED</t>
  </si>
  <si>
    <t>FISR plan implementation failed</t>
  </si>
  <si>
    <t>&lt;StationName&gt; FISR PLAN IMPLEMENTATION FAILED ON &lt;DeviceID&gt;</t>
  </si>
  <si>
    <t>RAVEN FISR PLAN IMPLEMENTATION FAILED ON F12346</t>
  </si>
  <si>
    <t>FISR plan implementation started</t>
  </si>
  <si>
    <t>&lt;StationName&gt; FISR PLAN IMPLEMENTATION STARTED</t>
  </si>
  <si>
    <t>RAVEN FISR PLAN IMPLEMENTATION STARTED</t>
  </si>
  <si>
    <t>FISR plan implementation rejected</t>
  </si>
  <si>
    <t>&lt;StationName&gt; FISR PLAN &lt;PlanID&gt; rejected comment: &lt;Comment&gt;</t>
  </si>
  <si>
    <t>&lt;StationName&gt; FISR PLAN &lt;PlanID&gt; approved comment: &lt;Comment&gt;</t>
  </si>
  <si>
    <t>RAVEN FISR PLAN FISR_RAVEN1468610189_1 APPROVED COMMENT: --</t>
  </si>
  <si>
    <t>RAVEN FISR PLAN FISR_RAVEN1468610189_1 REJECTED COMMENT: --</t>
  </si>
  <si>
    <t>RAVEN AFR PLAN AFR_RAVEN1468610189_1 REJECTED COMMENT: --</t>
  </si>
  <si>
    <t>FISR plan implementation approved</t>
  </si>
  <si>
    <t>FISR is disabled for feeder by DMS</t>
  </si>
  <si>
    <t>FISR is disabled for feeder by SCADA DA status measurement</t>
  </si>
  <si>
    <t>FISR enable/disabled for feeder by SCADA DA status measurement not changed</t>
  </si>
  <si>
    <t>FISR is enabled for feeder by SCADA DA status measurement</t>
  </si>
  <si>
    <t>FISR plan found with violations that can be addressed with LVM</t>
  </si>
  <si>
    <t>&lt;StationName&gt; &lt;FeederID&gt; FISR DISABLED REASON: &lt;Reason&gt;</t>
  </si>
  <si>
    <t>RAVEN F34523 FISR DISABLED REASON: reason</t>
  </si>
  <si>
    <t>&lt;StationName&gt; &lt;FeederID&gt; FISR ENABLE/DISABLE STATUS NO CHANGE REASON: &lt;Reason&gt;</t>
  </si>
  <si>
    <t>RAVEN F34523 FISR ENABLE/DISABLE STATUS NO CHANGE REASON: reason</t>
  </si>
  <si>
    <t>&lt;StationName&gt; &lt;FeederID&gt; FISR ENABLED REASON: &lt;Reason&gt;</t>
  </si>
  <si>
    <t>RAVEN F34523 FISR ENABLED REASON: reason</t>
  </si>
  <si>
    <t>&lt;StationName&gt; &lt;FeederID&gt; FISR PLAN FOUND. LVM VOLTAGE CORRECTIONS REQUIRED</t>
  </si>
  <si>
    <t>RAVEN F34523 FISR PLAN FOUND. LVM VOLTAGE CORRECTIONS REQUIRED</t>
  </si>
  <si>
    <t>FISR plan found, but violations cannot be addressed with LVM</t>
  </si>
  <si>
    <t xml:space="preserve">RAVEN BREAKER 123456 FISR CMD FAILURE CMD:  OPEN
</t>
  </si>
  <si>
    <t>&lt;StationID&gt; &lt;TypeGroup&gt; &lt;device&gt; FISR CMD FAILURE CMD:  &lt;Command&gt;</t>
  </si>
  <si>
    <t>&lt;StationID&gt; &lt;TypeGroup&gt; &lt;device&gt; FISR LOW FLOW
FLOW OF &lt;FlowLevel&gt; A BELOW LIMIT OF &lt;FlowLimit&gt; A</t>
  </si>
  <si>
    <t>RAVEN BREAKER 123456 FISR LOW FLOW
FLOW OF 10 A BELOW LIMIT OF 20 A</t>
  </si>
  <si>
    <t>&lt;StationName&gt; &lt;FeederID&gt; DPF failed to complete</t>
  </si>
  <si>
    <t>RAVEN F34523 DPF failed to complete</t>
  </si>
  <si>
    <t>RAVEN station low volt viol returned to normal, was LEVEL 1 now RETURN TO NORMAL</t>
  </si>
  <si>
    <t>RAVEN station low volt viol LVL 2 - EMERGENCY
was NORMAL, now LVL 2</t>
  </si>
  <si>
    <t>&lt;StationName&gt; station low volt viol LVL &lt;NewValue&gt; - &lt;LimitName&gt;
was &lt;OldValue&gt;, now &lt;NewValue&gt;</t>
  </si>
  <si>
    <t>&lt;StationName&gt; station low volt viol returned to normal
was &lt;OldValue&gt; now RETURN TO NORMAL</t>
  </si>
  <si>
    <t>&lt;StationName&gt; station high volt viol returned to normal
was &lt;OldValue&gt;, now RETURN TO NORMAL</t>
  </si>
  <si>
    <t>RAVEN station high volt viol returned to normal
was LEVEL 1, now RETURN TO NORMAL</t>
  </si>
  <si>
    <t>&lt;StationName&gt; station flow viol returned to normal was &lt;OldValue&gt;, now RETURN TO NORMAL</t>
  </si>
  <si>
    <t>RAVEN station high volt viol LVL 2 - EMERGENCY
was NORMAL, now LVL 2</t>
  </si>
  <si>
    <t>&lt;StationName&gt; station high volt viol LVL &lt;NewValue&gt; - &lt;LimitName&gt; 
was &lt;OldValue&gt;, now LVL &lt;NewValue&gt;</t>
  </si>
  <si>
    <t>RAVEN station flow viol returned to normal was LEVEL 2, now RETURN TO NORMAL</t>
  </si>
  <si>
    <t>&lt;StationName&gt; station flow viol LVL &lt;NewValue&gt; - &lt;NewLimitName&gt;  was &lt;OldLimitName&gt;, now LVL &lt;NewValue&gt;</t>
  </si>
  <si>
    <t>RAVEN station flow viol LVL 2 - EMERGENCY  was NORMAL, now LVL 2</t>
  </si>
  <si>
    <t>&lt;StationName&gt; station voltage imbalance violation</t>
  </si>
  <si>
    <t>&lt;StationName&gt; station voltage imbalance returned to normal</t>
  </si>
  <si>
    <t>RAVEN station voltage imbalance  returned to normal</t>
  </si>
  <si>
    <t>RAVEN station voltage imbalance violation</t>
  </si>
  <si>
    <t>&lt;StationName&gt; &lt;FeederID&gt; low volt viol returned to normal was &lt;OldValue&gt;, now RETURN TO NORMAL</t>
  </si>
  <si>
    <t>&lt;StationName&gt; &lt;FeederID&gt; low volt viol LVL &lt;NewValue&gt; - &lt;NewLimitName&gt;  was &lt;OldLimitName&gt;, now LVL &lt;NewValue&gt;</t>
  </si>
  <si>
    <t>MUIRFIELD F34539 BACK-FEED STATE RETURNED TO NORMAL</t>
  </si>
  <si>
    <t>&lt;StationName&gt; &lt;FeederID&gt; flow viol returned to normal was &lt;OldValue&gt;, now RETURN TO NORMAL</t>
  </si>
  <si>
    <t>RAVEN F34523 flow viol returned to normal
was LVL 2, now RETURN TO NORMAL</t>
  </si>
  <si>
    <t>&lt;StationName&gt; &lt;FeederID&gt;s BACK-FEED STATE</t>
  </si>
  <si>
    <t>&lt;StationName&gt; &lt;FeederID&gt; BACK-FEED STATE RETURNED TO NORMAL</t>
  </si>
  <si>
    <t>MUIRFIELD F34539 BACK-FEED STATE</t>
  </si>
  <si>
    <t>&lt;StationName&gt; &lt;FeederID&gt; flow viol LVL &lt;NewValue&gt; - &lt;NewLimitName&gt;  was &lt;OldLimitName&gt;, now LVL &lt;NewValue&gt;</t>
  </si>
  <si>
    <t>RAVEN F34523 flow viol LVL 2 - SHORT
was NORMAL, now LVL 2</t>
  </si>
  <si>
    <t>&lt;StationName&gt; &lt;FeederID&gt; voltage imbalance returned to normal</t>
  </si>
  <si>
    <t>RAVEN F34523 voltage imbalance returned to normal</t>
  </si>
  <si>
    <t>&lt;StationName&gt; &lt;FeederID&gt; voltage imbalance violation</t>
  </si>
  <si>
    <t>RAVEN F34523 voltage imbalance violation</t>
  </si>
  <si>
    <t>RAVEN F34523 PRV successfully completed</t>
  </si>
  <si>
    <t>&lt;StationName&gt; &lt;FeederID&gt; PRV failed to complete</t>
  </si>
  <si>
    <t>RAVEN F34523 PRV failed to complete</t>
  </si>
  <si>
    <t>&lt;StationID&gt; &lt;FeederID&gt; &lt;DeviceID&gt; INCORRECT PSG
PROTECTION SETTINGS GROUP CHANGED FROM &lt;OldGroupNumber&gt; TO &lt;NewGroupNumber&gt;</t>
  </si>
  <si>
    <t>RAVEN SWITCH 123456 INCORRECT PSG
PROTECTION SETTINGS GROUP CHANGED FROM 1 TO 2</t>
  </si>
  <si>
    <t>&lt;StationName&gt; &lt;FeederID&gt; LVM successfully completed</t>
  </si>
  <si>
    <t>RAVEN F34523 LVM successfully completed</t>
  </si>
  <si>
    <t>&lt;StationName&gt; &lt;FeederID&gt; LVM failed to complete</t>
  </si>
  <si>
    <t>RAVEN F34523 LVM failed to complete</t>
  </si>
  <si>
    <t>&lt;StationName&gt; &lt;FeederID&gt; LVM is disabled</t>
  </si>
  <si>
    <t>RAVEN F34523 LVM is disabled</t>
  </si>
  <si>
    <t>&lt;StationName&gt; &lt;FeederID&gt; No workable LVM plans generated &lt;period&gt;</t>
  </si>
  <si>
    <t>RAVEN F34523 No workable LVM plans generated in 2 hours</t>
  </si>
  <si>
    <t>LVM is disabled for feeder</t>
  </si>
  <si>
    <t>LVM is off - too many controllers out of service</t>
  </si>
  <si>
    <t>&lt;StationName&gt; &lt;FeederID&gt; LVM off - not enough controllers</t>
  </si>
  <si>
    <t>RAVEN F34523 LVM off - not enough controllers</t>
  </si>
  <si>
    <t>LVM Capacitor switch failed</t>
  </si>
  <si>
    <t>RAVEN 123456 LVM cap switch failed (second)</t>
  </si>
  <si>
    <t>LVM tap change failed</t>
  </si>
  <si>
    <t>RAVEN 123456 LVM tap change failed (first)</t>
  </si>
  <si>
    <t>&lt;StationID&gt; &lt;DeviceID&gt; LVM tap change cancelled</t>
  </si>
  <si>
    <t>RAVEN 123456 LVM tap change cancelled</t>
  </si>
  <si>
    <t>&lt;StationID&gt; &lt;DeviceID&gt; LVM tap voltage imbalance</t>
  </si>
  <si>
    <t>RAVEN 123456 LVM tap voltage imbalance</t>
  </si>
  <si>
    <t>LVM completed</t>
  </si>
  <si>
    <t>LVM failed to complete</t>
  </si>
  <si>
    <t>No implementable LVM plans generated in XX hours</t>
  </si>
  <si>
    <t>&lt;StationID&gt; &lt;DeviceID&gt; LVM cap switch failed &lt;AttemptNumber&gt;</t>
  </si>
  <si>
    <t>&lt;StationID&gt; &lt;DeviceID&gt; Delta-V mismatch (RETURN TO NORMAL)</t>
  </si>
  <si>
    <t>RAVEN 123456 Delta-V mismatch (RETURN TO NORMAL)</t>
  </si>
  <si>
    <t>&lt;StationID&gt; &lt;DeviceID&gt; Too many cap changes in &lt;Number&gt; hours</t>
  </si>
  <si>
    <t>&lt;StationID&gt; &lt;DeviceID&gt; LVM tap change failed &lt;AttemptNumber&gt;</t>
  </si>
  <si>
    <t>&lt;StationID&gt; &lt;DeviceID&gt; Too many tap changes in &lt;Number&gt; hours</t>
  </si>
  <si>
    <t>&lt;StationName&gt; FL CALCULATIONS COMPLETED SUCCESSFULLY"</t>
  </si>
  <si>
    <t>&lt;StationName&gt; FL FAILED TO COMPLETE
REASON: &lt;Reason&gt;</t>
  </si>
  <si>
    <t>RAVEN FL FAILED TO COMPLETE
REASON: FL FAULT CURRENT AND PHASE TARGETS WERE INCORRECTLY SET</t>
  </si>
  <si>
    <t>Unexpected voltage measurement from energized device</t>
  </si>
  <si>
    <t>Implementable LVM plans generated</t>
  </si>
  <si>
    <t>LVM station too many "controls not available" in a day</t>
  </si>
  <si>
    <t>LVM problem formulation changed</t>
  </si>
  <si>
    <t>LVM problem formulation returned to normal</t>
  </si>
  <si>
    <t>&lt;StationName&gt; TOO MANY 'CNTRLS NOT AVAILABLE' IN A DAY"</t>
  </si>
  <si>
    <t>&lt;StationID&gt; &lt;Device&gt; ENERGIZED SENSOR IS READING &lt;DevReading&gt; VOLT</t>
  </si>
  <si>
    <t>&lt;StationName&gt; &lt;FeederId&gt; LVM PROBLEM FORMULATION CHANGED TO &lt;String&gt;</t>
  </si>
  <si>
    <t>&lt;StationName&gt; &lt;FeederId&gt; LVM PROBLEM FORMULATION RESTORED TO &lt;String&gt;</t>
  </si>
  <si>
    <t>RAVEN 12345 ENERGIZED SENSOR IS READING 125 VOLT</t>
  </si>
  <si>
    <t>&lt;StationName&gt; &lt;FeederId&gt; WORKABLE LVM PLAN GENERATED"</t>
  </si>
  <si>
    <t>RAVEN 12345 LVM DA SUPPORT MODE RETURN TO NORMAL</t>
  </si>
  <si>
    <t>&lt;StationName&gt; &lt;FeederId&gt; LVM DA SUPPORT MODE RETURN TO NORMAL</t>
  </si>
  <si>
    <t>RAVEN 12345 LVM DA SUPPORT MODE ENABLED</t>
  </si>
  <si>
    <t>&lt;StationName&gt; &lt;FeederId&gt; LVM DA SUPPORT MODE ENABLED</t>
  </si>
  <si>
    <t>RAVEN 12345 WORKABLE LVM PLAN GENERATED</t>
  </si>
  <si>
    <t>RAVEN TOO MANY 'CNTRLS NOT AVAILABLE' IN A DAY</t>
  </si>
  <si>
    <t>RAVEN 12345 LVM PROBLEM FORMULATION CHANGED TO REDUCE VIOLATIONS</t>
  </si>
  <si>
    <t>RAVEN 12345 LVM PROBLEM FORMULATION RESTORED TO REDUCE VIOLATIONS</t>
  </si>
  <si>
    <t>&lt;StationName&gt; &lt;DeviceType&gt; &lt;DeviceName or DeviceID&gt; PH &lt;Phase&gt; set to &lt;Flag&gt; by &lt;User&gt; on &lt;PcName&gt;</t>
  </si>
  <si>
    <t>&lt;StationName&gt; &lt;DeviceType&gt; &lt;DeviceName or DeviceID&gt; &lt;Status&gt;
by &lt;User&gt; on &lt;PcName&gt;</t>
  </si>
  <si>
    <t>&lt;StationName&gt; &lt;DeviceType&gt; &lt;DeviceName or DeviceID&gt;  SET TO CONFIRM &lt;Flag&gt; by &lt;User&gt; on &lt;PcName&gt;</t>
  </si>
  <si>
    <t>&lt;StationName&gt; &lt;DeviceType&gt; &lt;DeviceID&gt; PH &lt;Phase&gt; CONFIRM &lt;Flag&gt; BY &lt;User&gt; ON &lt;PcName&gt;</t>
  </si>
  <si>
    <t>devType</t>
  </si>
  <si>
    <t>SWITCH, COMPSWITCH, CUT, or JUMPER</t>
  </si>
  <si>
    <t>DeviceName or DeviceID</t>
  </si>
  <si>
    <t>status</t>
  </si>
  <si>
    <t>RAVEN F8864 TEMP GROUND PH ABCG PLACED, NAME: xxxxxx BY user1 ON host1</t>
  </si>
  <si>
    <t>RAVEN 178399 TEMP GROUND PH AG REMOVED,  NAME: xxxxxxxx BY user1 ON host1</t>
  </si>
  <si>
    <t>Remove temporary ground or permanent fault</t>
  </si>
  <si>
    <t>Apply or remove a temporary ground or permanent fault</t>
  </si>
  <si>
    <t>&lt;StationID&gt; &lt;DeviceID&gt; LVM tap voltage imbalance (RETURN TO NORMAL)</t>
  </si>
  <si>
    <t>RAVEN 123456 LVM tap voltage imbalance (RETURN TO NORMAL)</t>
  </si>
  <si>
    <t>VV780</t>
  </si>
  <si>
    <t>Standby to enabled server connection status change</t>
  </si>
  <si>
    <t>VV6155</t>
  </si>
  <si>
    <t>VV6150</t>
  </si>
  <si>
    <t>&lt;DivisionName&gt; DPF has not been solved in the last &lt;NumberMinutesl&gt; minutes</t>
  </si>
  <si>
    <t>Standby at 127.0.0.1 connection status: CONNECTED BY System on host1
VIP Client at 127.0.0.1 connection status: CONNECTED BY SYSTEM ON host1
DMSINTERFACESERVER at 127.0.0.1 connection status: CONNECTED BY SYSTEM ON host1
DNAF at 127.0.0.1 connection status: DISCONNECTED BY SYSTEM ON host1
OMS at 127.0.0.2 connection status: DISCONNECTED BY SYSTEM ON host1</t>
  </si>
  <si>
    <t>DMSOP064</t>
  </si>
  <si>
    <t>DMSOP065</t>
  </si>
  <si>
    <t xml:space="preserve"> - Failed to Deliver SwitchOrder to non-mobile employee. Employee Id: %&lt;employeeId&gt;s. SWO: %&lt;swoName&gt;s.
 - Failed to Deliver SwitchOrder to Mobile Server. SWO: %&lt;swoName&gt;s.
 - Operation %&lt;message&gt;s was rejected by e-terra Mobile.
 - Message was not sent for the time specified.
 - Outstanding messages were cleared.
 - %&lt;message&gt;s</t>
  </si>
  <si>
    <t>Step Status Update From Field: Ok. Stepp Id = [StepId]. Update type = Confirm. Employee Id: [Employee ID]  SWO: [SWO Numbet]</t>
  </si>
  <si>
    <t>A message from field: [MessageText]. Employee Id: [Employee ID]</t>
  </si>
  <si>
    <t xml:space="preserve"> - A SOS message received from field: %&lt;message&gt;s. Employee Id: %&lt;employeeId&gt;s. SWO: %&lt;swoName&gt;s.
- A message received from field: %&lt;message&gt;s.
- SOS message was accepted by field employee. Employee Id: %&lt;employeeId&gt;s
- SWO was updated from field.
- SWO was %&lt;message&gt;s.
- Step Status Update From Field: Ok. %&lt;message&gt;s
- %&lt;message&gt;s</t>
  </si>
  <si>
    <t>VV1162</t>
  </si>
  <si>
    <t>VV1165</t>
  </si>
  <si>
    <t>LVM failsafe conditions started for a station</t>
  </si>
  <si>
    <t>LVM failsafe conditions ended for a station</t>
  </si>
  <si>
    <t>VV1175</t>
  </si>
  <si>
    <t>LVM retriggered due to a plan execution failure</t>
  </si>
  <si>
    <t>OMSOP048</t>
  </si>
  <si>
    <t>&lt;StationName&gt; LVM RETRIGGERED DUE TO PLAN EXECUTION FAILURE</t>
  </si>
  <si>
    <t>RAVEN LVM RETRIGGERED DUE TO PLAN EXECUTION FAILURE</t>
  </si>
  <si>
    <t>Undo confirmation was performed for an incident</t>
  </si>
  <si>
    <t>UNDO CONFIRMATION PERFORMED FOR INCIDENT 2015000238, STATION RAVEN, DEVICE 12345</t>
  </si>
  <si>
    <t>When LVM plan is generated, if LVM throttling function is enabled, the generated plan could be held in the queue before sending to plan manager if the real and/or reactive power demand change rate is greater than a pre-defined threshold for the LVM optimization group. In this case, this alarm is issued.</t>
  </si>
  <si>
    <t>If an LVM optimization group is in the throttling status, after some time, if the active and/or reactive power demand change rate is changed to a value less than the pre-defined threshold, the throttling status is cleared and this alarm is issued.</t>
  </si>
  <si>
    <t>VV1183</t>
  </si>
  <si>
    <t>LVM plan execution fails because a device is found ineligible or a device state changed during a pre-implementation check</t>
  </si>
  <si>
    <t>AF158</t>
  </si>
  <si>
    <t>FI158</t>
  </si>
  <si>
    <t>VV1198</t>
  </si>
  <si>
    <t>LVM plan canceled</t>
  </si>
  <si>
    <t>&lt;StationName&gt; LVM PLAN &lt;PlanId&gt; CANCELED</t>
  </si>
  <si>
    <t>RAVEN LVM PLAN LVM_1010103153 CANCELED</t>
  </si>
  <si>
    <t>OMSOP049</t>
  </si>
  <si>
    <t>Device phase prediction blocked/unblocked</t>
  </si>
  <si>
    <t>RAVEN 203454 PH AC UNBLOCKED
BY user1 ON host1</t>
  </si>
  <si>
    <t>{"UN", ""}</t>
  </si>
  <si>
    <t>UNACKNOWLEDGED SUSTAINED INCIDENT &lt;IncidentID&gt; CREATED   FOR STATION &lt;StationName&gt; ON DEVICE &lt;DeviceName or DeviceID&gt;</t>
  </si>
  <si>
    <t>UNACKNOWLEDGED MOMENTARY INCIDENT &lt;IncidentID&gt; CREATED  FOR STATION &lt;StationName&gt; ON DEVICE &lt;DeviceName or DeviceID&gt;</t>
  </si>
  <si>
    <t>UNDO CONFIRMATION PERFORMED FOR INCIDENT &lt;IncidentID&gt;,  STATION &lt;StationName&gt;,  DEVICE &lt;DeviceName or DeviceID&gt;</t>
  </si>
  <si>
    <t>&lt;StationName&gt; &lt;DeviceName or DeviceID&gt; PH &lt;Phase&gt; &lt;Flag&gt;BLOCKED BY &lt;User&gt; ON &lt;PcName&gt;</t>
  </si>
  <si>
    <t>VV6154</t>
  </si>
  <si>
    <t>Optimization group secondary throttling check requested an execution pause</t>
  </si>
  <si>
    <t>VV6122</t>
  </si>
  <si>
    <t>Optimization Group LVM system implementation ended</t>
  </si>
  <si>
    <t>VV6125</t>
  </si>
  <si>
    <t>Optimization Group LVM system implementation started</t>
  </si>
  <si>
    <t>Optimization Group LVM system implementation stopped</t>
  </si>
  <si>
    <t>VV6128</t>
  </si>
  <si>
    <t>RAVEN  Switch 203454 normal state change pending
by user1 on host1</t>
  </si>
  <si>
    <t>&lt;StationName&gt; LVM PLAN &lt;PlanId&gt; FAILED DEVICE STATE CHECK</t>
  </si>
  <si>
    <t>RAVEN LVM PLAN LVM_1003080544 FAILED DEVICE STATE CHECK</t>
  </si>
  <si>
    <t>&lt;StationName&gt; &lt;FeederID&gt;  AFR failed to complete reason: &lt;Reason&gt;</t>
  </si>
  <si>
    <t>Indicate that AFR is completed and provide plan generation summary</t>
  </si>
  <si>
    <t>Indicate that AFR failed to complete and provide solution fail reason</t>
  </si>
  <si>
    <t>Indicate that AFR is starting to solve and provide the solution trigger</t>
  </si>
  <si>
    <t>Indicate that FISR is completed and provide plan generation summary</t>
  </si>
  <si>
    <t>Indicate that FISR is starting to solve and provide the solution trigger</t>
  </si>
  <si>
    <t>Indicates that FISR failed to complete and provides solution fail reason</t>
  </si>
  <si>
    <t>Switching Order Mobile application message</t>
  </si>
  <si>
    <t>Flow Imbalance Violation for Station (RETURN TO NORMAL)</t>
  </si>
  <si>
    <t>Flow Imbalance Violation for Station</t>
  </si>
  <si>
    <t>Voltage Imbalance Violation for Station (RETURN TO NORMAL)</t>
  </si>
  <si>
    <t>Voltage Imbalance Violation for Station</t>
  </si>
  <si>
    <t>LTC/Regulator source voltage adjusted for tap position estimation</t>
  </si>
  <si>
    <t>Backfeed state on feeder</t>
  </si>
  <si>
    <t>Backfeed state on feeder (RETURN TO NORMAL)</t>
  </si>
  <si>
    <t>Regulator group voltage imbalance</t>
  </si>
  <si>
    <t>Regulator group voltage imbalance (return to normal)</t>
  </si>
  <si>
    <t>AFR is enabled for feeder by SCADA Distribution Automation (DA) status measurement</t>
  </si>
  <si>
    <t>USER &lt;User&gt; MADE &lt;NumChanges&gt; &lt;application&gt; APPLICATION CHANGES FROM &lt;PcName&gt;</t>
  </si>
  <si>
    <t>USER user1 MADE 1 PRV APPLICATION CHANGES FROM host1</t>
  </si>
  <si>
    <t>FI1111</t>
  </si>
  <si>
    <t>Indicate that FISR is not triggered</t>
  </si>
  <si>
    <t>VV1135</t>
  </si>
  <si>
    <t>LVM DA support mode turned on to reduce violations in FISR/AFR plans</t>
  </si>
  <si>
    <t>LVM DA support mode turned off after FISR/AFR plan without violations</t>
  </si>
  <si>
    <t>&lt;StationName&gt; &lt;FeederID&gt; FISR NOT TRIGGERED  REASON: &lt;Reason&gt;</t>
  </si>
  <si>
    <t>RAVEN F34523 FISR NOT TRIGGERED  REASON: FAULT NOT CONFIRMED BY FAULT LOCATION</t>
  </si>
  <si>
    <t>OMSOP050</t>
  </si>
  <si>
    <t>AMI operation failed, ACCOUNT &lt;AccountNumber&gt;, METER &lt;MeterNumber&gt;, OPERATION &lt;Operation&gt;</t>
  </si>
  <si>
    <t>OMS9</t>
  </si>
  <si>
    <t>operation</t>
  </si>
  <si>
    <t>AMI operation failed, ACCOUNT 1234567890, METER 87654321, OPERATION DisconnectMeter</t>
  </si>
  <si>
    <t>OMSOP051</t>
  </si>
  <si>
    <t>Failure of a user-requested AMI operation</t>
  </si>
  <si>
    <t>areaNote</t>
  </si>
  <si>
    <t>OMS10</t>
  </si>
  <si>
    <t>&lt;StationName&gt; LVM FAILSAFE ENDED
PROBLEM FORMULATION CHANGED TO &lt;String&gt;</t>
  </si>
  <si>
    <t>&lt;StationName&gt; LVM FAILSAFE STARTED
PROBLEM FORMULATION CHANGED TO &lt;String&gt;</t>
  </si>
  <si>
    <t>RAVEN LVM FAILSAFE ENDED
PROBLEM FORMULATION CHANGED TO REDUCE VIOLATIONS</t>
  </si>
  <si>
    <t>RAVEN LVM FAILSAFE STARTED
PROBLEM FORMULATION CHANGED TO REDUCE VIOLATIONS</t>
  </si>
  <si>
    <t>VV2162</t>
  </si>
  <si>
    <t>VV2165</t>
  </si>
  <si>
    <t>LVM failsafe conditions ended for a feeder</t>
  </si>
  <si>
    <t>LVM failsafe conditions started for a feeder</t>
  </si>
  <si>
    <t>&lt;StationName&gt; &lt;FeederName&gt; LVM FAILSAFE ENDED
PROBLEM FORMULATION CHANGED TO &lt;String&gt;</t>
  </si>
  <si>
    <t>&lt;StationName&gt; &lt;FeederName&gt; LVM FAILSAFE STARTED
PROBLEM FORMULATION CHANGED TO &lt;String&gt;</t>
  </si>
  <si>
    <t>RAVEN F34523 LVM FAILSAFE ENDED
PROBLEM FORMULATION CHANGED TO REDUCE VIOLATIONS</t>
  </si>
  <si>
    <t>RAVEN F34523 LVM FAILSAFE STARTED
PROBLEM FORMULATION CHANGED TO REDUCE VIOLATIONS</t>
  </si>
  <si>
    <t>VV5162</t>
  </si>
  <si>
    <t>VV5165</t>
  </si>
  <si>
    <t>LVM failsafe conditions ended for a transformer</t>
  </si>
  <si>
    <t>LVM failsafe conditions started for a transformer</t>
  </si>
  <si>
    <t>yes - by transformer</t>
  </si>
  <si>
    <t>&lt;StationName&gt; &lt;TransformerName&gt; LVM FAILSAFE ENDED
PROBLEM FORMULATION CHANGED TO &lt;String&gt;</t>
  </si>
  <si>
    <t>&lt;StationName&gt; &lt;TransformerName&gt; LVM FAILSAFE STARTED
PROBLEM FORMULATION CHANGED TO &lt;String&gt;</t>
  </si>
  <si>
    <t>RAVEN T1 LVM FAILSAFE ENDED
PROBLEM FORMULATION CHANGED TO REDUCE VIOLATIONS</t>
  </si>
  <si>
    <t>RAVEN T1 LVM FAILSAFE STARTED
PROBLEM FORMULATION CHANGED TO REDUCE VIOLATIONS</t>
  </si>
  <si>
    <t>VV61212</t>
  </si>
  <si>
    <t>Optimization Group LVM system implementation percentage complete</t>
  </si>
  <si>
    <t>yes</t>
  </si>
  <si>
    <t>&lt;DivisionName&gt; AREA LVM SYSTEM IMPLEMENTATION &lt;PercentConfiguration&gt;% COMPLETE</t>
  </si>
  <si>
    <t>WSTA AREA LVM SYSTEM IMPLEMENTATION 50.0% COMPLETE</t>
  </si>
  <si>
    <t>&lt;DivisionName&gt; AREA LVM THROTTLING RETURN TO NORMAL</t>
  </si>
  <si>
    <t>WST AREA LVM THROTTLING RETURN TO NORMAL</t>
  </si>
  <si>
    <t>&lt;DivisionName&gt; AREA LVM THROTTLING EXCEEDED. PAUSING.</t>
  </si>
  <si>
    <t>WST AREA LVM THROTTLING EXCEEDED. PAUSING.</t>
  </si>
  <si>
    <t>&lt;DivisionName&gt; AREA LVM THROTTLING STARTED</t>
  </si>
  <si>
    <t>WST AREA LVM THROTTLING STARTED</t>
  </si>
  <si>
    <t>&lt;DivisionName&gt; AREA LVM SYSTEM IMPLEMENTATION ENDED</t>
  </si>
  <si>
    <t>WST AREA LVM SYSTEM IMPLEMENTATION ENDED</t>
  </si>
  <si>
    <t>PF1130</t>
  </si>
  <si>
    <t>PF1131</t>
  </si>
  <si>
    <t>&lt;StationName&gt; AMI VOLTAGE MISMATCH RETURN TO NORMAL</t>
  </si>
  <si>
    <t>&lt;StationName&gt; AMI VOLTAGE MISMATCH VIOLATION</t>
  </si>
  <si>
    <t>RAVEN AMI VOLTAGE MISMATCH RETURN TO NORMAL</t>
  </si>
  <si>
    <t>RAVEN AMI VOLTAGE MISMATCH VIOLATION</t>
  </si>
  <si>
    <t>AMI (load point) voltage mismatch violation for a station</t>
  </si>
  <si>
    <t>AMI (load point) voltage mismatch violation for a station (RETURN TO NORMAL)</t>
  </si>
  <si>
    <t>&lt;DivisionName&gt; AREA LVM SYSTEM IMPLEMENTATION STARTED by &lt;User&gt;</t>
  </si>
  <si>
    <t>WST AREA LVM SYSTEM IMPLEMENTATION STARTED by User1</t>
  </si>
  <si>
    <t>WST AREA LVM SYSTEM IMPLEMENTATION STOPPED by User1</t>
  </si>
  <si>
    <t>&lt;DivisionName&gt; AREA LVM SYSTEM IMPLEMENTATION STOPPED by &lt;User&gt;</t>
  </si>
  <si>
    <t>DMSOP066</t>
  </si>
  <si>
    <t>DER Control Plan %&lt;PlanId&gt;s is timed out
(it was not transmitted to aggregator in %&lt;Timeout&gt;d minutes)</t>
  </si>
  <si>
    <t>DER Control Plan LVM_1003080544 is timed out
(it was not transmitted to aggregator in 10 minutes)</t>
  </si>
  <si>
    <t>DMSOP067</t>
  </si>
  <si>
    <t>DER control plan status change</t>
  </si>
  <si>
    <t>DMS Interface Server failed to send a DER control plan to the 2030.5 Gateway</t>
  </si>
  <si>
    <t>DER Control Plan %&lt;planId&gt;s status set to %&lt;msgStatus&gt;s</t>
  </si>
  <si>
    <t>DER Control Plan LVM_1003080544 status set to Dispatched</t>
  </si>
  <si>
    <t>OMSOP052</t>
  </si>
  <si>
    <t>Planned Outage &lt;StationName&gt; &lt;DeviceName&gt; Start Time expired.
Please convert it to incident</t>
  </si>
  <si>
    <t>Planned Outage RAVEN 51729 Start Time expired.
Please convert it to incident</t>
  </si>
  <si>
    <t>Planned outage not converted to an incident (appears when the automatic conversion is disabled)</t>
  </si>
  <si>
    <t>DMSOP068</t>
  </si>
  <si>
    <t>DMSOP069</t>
  </si>
  <si>
    <t>DMSOP070</t>
  </si>
  <si>
    <t>%&lt;clientType&gt;s at %&lt;clientIp&gt;s status: %&lt;cmd&gt;s Dms follower BY %&lt;user&gt;s ON %&lt;pcname&gt;s</t>
  </si>
  <si>
    <t>Dms follower disconnected untrusted user %&lt;clientType&gt;s at %&lt;clientIp&gt;s</t>
  </si>
  <si>
    <t>Standby OMS Server connected/disconnected from a DMS Follower server</t>
  </si>
  <si>
    <t>Untrusted user connection rejected for a DMS Follower server</t>
  </si>
  <si>
    <t>Dms follower disconnected untrusted user OMS at 127.0.0.1</t>
  </si>
  <si>
    <t>OMS at 127.0.0.1 status: CONNECTED TO Dms follower BY DMS ON idms50</t>
  </si>
  <si>
    <t>DMSOP071</t>
  </si>
  <si>
    <t>OMSOP053</t>
  </si>
  <si>
    <t>OMSOP054</t>
  </si>
  <si>
    <t>Oms rejected blacklisted high rate user at %&lt;clientIp&gt;s</t>
  </si>
  <si>
    <t>Oms rejected high rate connect attempts from %&lt;clientIp&gt;s %&lt;listenstop&gt;s</t>
  </si>
  <si>
    <t>DMS Server rejected connection from a blacklisted user</t>
  </si>
  <si>
    <t>OMS Server rejected connection from a blacklisted user</t>
  </si>
  <si>
    <t xml:space="preserve">DMS rejected high rate connect attempts from 172.25.132.59, listener stopped </t>
  </si>
  <si>
    <t xml:space="preserve">Oms rejected high rate connect attempts from 172.25.132.59, listener stopped </t>
  </si>
  <si>
    <t>Oms rejected blacklisted high rate user at 172.25.132.59</t>
  </si>
  <si>
    <t>%&lt;serverType&gt;s rejected blacklisted %&lt;disType&gt;s user at %&lt;clientIp&gt;s</t>
  </si>
  <si>
    <t>"%&lt;serverType&gt;s rejected high rate connect attempts from %&lt;clientIp&gt;s %&lt;listenstop&gt;s</t>
  </si>
  <si>
    <t>DMS rejected blacklisted user Untrusted at 123.456.321</t>
  </si>
  <si>
    <t xml:space="preserve">DMS Server rejected connection from a user with an excessive rate of connection attempts </t>
  </si>
  <si>
    <t>OMS Server rejected connection from a user with an excessive rate of connection attempts</t>
  </si>
  <si>
    <t>DMSOP072</t>
  </si>
  <si>
    <t>Faulted Section Determination Stage 1 starting</t>
  </si>
  <si>
    <t>FSD Stage 1 started for transformer %&lt;stationNm&gt;s %&lt;tfNm&gt;s</t>
  </si>
  <si>
    <t>DMSOP073</t>
  </si>
  <si>
    <t>Faulted Section Determination Stage 1 successfully ended</t>
  </si>
  <si>
    <t>Successfully identified faulted feeder: %&lt;stationNm&gt;s %&lt;feederNm&gt;s</t>
  </si>
  <si>
    <t>DMSOP074</t>
  </si>
  <si>
    <t>Faulted Section Determination Stage 1 ended with no result</t>
  </si>
  <si>
    <t>Identification of faulted feeder failed on transformer %&lt;stationNm&gt;s %&lt;tfNm&gt;s</t>
  </si>
  <si>
    <t>DMSOP075</t>
  </si>
  <si>
    <t>SCADA control failure during FSD Stage 1</t>
  </si>
  <si>
    <t>%&lt;stationNm&gt;s %&lt;deviceNm&gt;s control failure during FSD Stage 1</t>
  </si>
  <si>
    <t>RAVEN 51729 control failure during FSD Stage 2</t>
  </si>
  <si>
    <t>DMSOP076</t>
  </si>
  <si>
    <t>Faulted Section Determination Stage 2 starting</t>
  </si>
  <si>
    <t>FSD Stage 2 started for feeder %&lt;stationNm&gt;s %&lt;feederNm&gt;s</t>
  </si>
  <si>
    <t>DMSOP077</t>
  </si>
  <si>
    <t>Faulted Section Determination Stage 2 successfully ended</t>
  </si>
  <si>
    <t>Successfully identified faulted section: %&lt;stationNm&gt;s %&lt;deviceID1&gt;s, %&lt;stationNm&gt;s %&lt;deviceID2&gt;s</t>
  </si>
  <si>
    <t>Successfully identified faulted section: RAVEN 51729, RAVEN 51730</t>
  </si>
  <si>
    <t>DMSOP078</t>
  </si>
  <si>
    <t>Faulted Section Determination Stage 2 ended with no result</t>
  </si>
  <si>
    <t>Identification of faulted section failed on feeder %&lt;stationNm&gt;s %&lt;feederNm&gt;s</t>
  </si>
  <si>
    <t>DMSOP079</t>
  </si>
  <si>
    <t>SCADA control failure during FSD Stage 2</t>
  </si>
  <si>
    <t>%&lt;stationNm&gt;s %&lt;deviceNm&gt;s control failure during FSD Stage 2</t>
  </si>
  <si>
    <t>DMSOP080</t>
  </si>
  <si>
    <t>Web API request to create a hot line hold document</t>
  </si>
  <si>
    <t>WebApi Request %&lt;requestId&gt;s for creating Hot Line Hold document %&lt;sWOName&gt;s by %&lt;userName&gt;s Station: %&lt;stationNm&gt;s, Service Center: %&lt;srvCntr&gt;s, Division: %&lt;division&gt;s, Start Time: %&lt;startDate&gt;s, End Time: %&lt;endDate&gt;s</t>
  </si>
  <si>
    <t xml:space="preserve">WebApi Request DMSALL_AUTO_HLH0 for creating Hot Line Hold document Test_HLH0008 by DMSALL Station: RAVEN, Service Center: 3LIONSSC, Division: RAVENSW, Start Time: 11/11/2019 09:47:2, End Time: 11/11/2019 09:47:2
</t>
  </si>
  <si>
    <t>FSD Stage 1 started for transformer PLUTO T2</t>
  </si>
  <si>
    <t>Successfully identified faulted feeder: PLUTO F5034</t>
  </si>
  <si>
    <t>Identification of faulted feeder failed on transformer PLUTO T2</t>
  </si>
  <si>
    <t>PLUTO 5039F control failure during FSD Stage 2</t>
  </si>
  <si>
    <t>FSD Stage 2 started for feeder PLUTO 5039F</t>
  </si>
  <si>
    <t>Identification of faulted section failed on feeder PLUTO 5039F</t>
  </si>
  <si>
    <t>OMSOP055</t>
  </si>
  <si>
    <t>Non-outage incident originated</t>
  </si>
  <si>
    <t>NON OUTAGE INCIDENT %&lt;incidentId&gt;s CREATED FOR STATION %&lt;stationNm&gt;s ON DEVICE %&lt;deviceId&gt;s</t>
  </si>
  <si>
    <t>NON OUTAGE INCIDENT 10000001 CREATED FOR STATION RAVEN ON DEVICE 53131</t>
  </si>
  <si>
    <t>&lt;StationName&gt; AFR PLAN &lt;PlanId&gt; CANCELED
&lt;StationName&gt; AFR PLAN &lt;PlanId&gt; EXECUTION MODE CHANGED FROM CLOSED-LOOP TO SEMI-AUTOMATIC DUE TO THE THIRD-PARTY OWNED EQUIPMENT
&lt;StationName&gt; AFR PLAN &lt;PlanId&gt; EXECUTION MODE CHANGED FROM SEMI-AUTOMATIC TO ADVISORY DUE TO THE THIRD-PARTY OWNED EQUIPMENT</t>
  </si>
  <si>
    <t>RAVEN AFR PLAN AFR_1010103153_1 CANCELED
RAVEN AFR PLAN AFR_1010103153_1 EXECUTION MODE CHANGED FROM CLOSED-LOOP TO SEMI-AUTOMATIC DUE TO THE THIRD-PARTY OWNED EQUIPMENT
RAVEN AFR PLAN AFR_1010103153_1 EXECUTION MODE CHANGED FROM SEMI-AUTOMATIC TO ADVISORY DUE TO THE THIRD-PARTY OWNED EQUIPMENT</t>
  </si>
  <si>
    <t>AFR plan canceled or execution mode changed</t>
  </si>
  <si>
    <t>FISR plan canceled or execution mode changed</t>
  </si>
  <si>
    <t>OMSOP056</t>
  </si>
  <si>
    <t>Area settings ETR expired</t>
  </si>
  <si>
    <t>Area Settings &lt;AreaName&gt; ETR expired. Please delete the Area Settings or reset the ETR to another time.</t>
  </si>
  <si>
    <t>Area Settings LOCKE ETR expired. Please delete the Area Settings or reset the ETR to another time.</t>
  </si>
  <si>
    <t>Area settings expired</t>
  </si>
  <si>
    <t>Area settings &lt;AreaName&gt; expired. Please cancel or delete the Area Settings.</t>
  </si>
  <si>
    <t>Area settings LOCKE expired. Please cancel or delete the Area Settings.</t>
  </si>
  <si>
    <t>DMSOP081</t>
  </si>
  <si>
    <t>BETHPAGE SWITCH 413506 is currently CLOSE and in TOP classification by DMSALL on RH11533</t>
  </si>
  <si>
    <t>Switching device specific open state classification change to Temporary Open (TOP), Bad Open (BOP), Normal Open (NOP), or Normal.</t>
  </si>
  <si>
    <t>%&lt;stationId&gt;s %&lt;typeStr&gt;s %&lt;deviceId&gt;s is currently in %&lt;stateStr&gt;s and in %&lt;transStr&gt;s classification  BY %&lt;user&gt;s ON %&lt;pcname&gt;s</t>
  </si>
  <si>
    <t>&lt;StationName&gt; &lt;Type&gt; Annotation  &lt;Flag&gt;, name: &lt;name&gt;, name: &lt;name&gt; comment: &lt;Comment&gt; by &lt;User&gt; on &lt;PcName&gt;</t>
  </si>
  <si>
    <t>RAVEN Data Quality Annotation added, 
name: xxxxxxxxxx device:xxxxxxxxxxxx comment: xxxxxxxxxxxx
by user1 on host1</t>
  </si>
  <si>
    <t>RAVEN FISR PLAN FISR_1010103153_1 CANCELED
RAVEN FISR PLAN FISR_1010103153_1 CANCELED DUE TO NEW FAULT EVENT DURING PLAN EXECUTION
RAVEN FISR PLAN FISR_1010103153_1 EXECUTION MODE CHANGED FROM CLOSED-LOOP TO SEMI-AUTOMATIC DUE TO THE THIRD-PARTY OWNED EQUIPMENT
RAVEN FISR PLAN FISR_1010103153_1 EXECUTION MODE CHANGED FROM SEMI-AUTOMATIC TO ADVISORY DUE TO THE THIRD-PARTY OWNED EQUIPMENT</t>
  </si>
  <si>
    <t>&lt;StationName&gt; FISR PLAN &lt;PlanId&gt; CANCELED
&lt;StationName&gt; FISR PLAN &lt;PlanId&gt; CANCELED DUE TO NEW FAULT EVENT DURING PLAN EXECUTION
&lt;StationName&gt; FISR PLAN &lt;PlanId&gt; EXECUTION MODE CHANGED FROM CLOSED-LOOP TO SEMI-AUTOMATIC DUE TO THE THIRD-PARTY OWNED EQUIPMENT
&lt;StationName&gt; FISR PLAN &lt;PlanId&gt; EXECUTION MODE CHANGED FROM SEMI-AUTOMATIC TO ADVISORY DUE TO THE THIRD-PARTY OWNED EQUIPMENT</t>
  </si>
  <si>
    <t>FI337</t>
  </si>
  <si>
    <t>FI3310</t>
  </si>
  <si>
    <t>FISR is enabled for switch by SCADA DA status measurement</t>
  </si>
  <si>
    <t>FISR is disabled for switch by SCADA DA status measurement</t>
  </si>
  <si>
    <t>AF337</t>
  </si>
  <si>
    <t>AF3310</t>
  </si>
  <si>
    <t>AFR is disabled for switch by SCADA DA status measurement</t>
  </si>
  <si>
    <t>AFR is enabled for switch by SCADA DA status measurement</t>
  </si>
  <si>
    <t>{"IsFollower"}</t>
  </si>
  <si>
    <t>&lt;StationName&gt; &lt;FeederID&gt; &lt;TypeGroup&gt; &lt;device&gt; FISR DISABLED FOR SWITCH REASON: MEASUREMENT VALUE CHANGED TO DISABLED</t>
  </si>
  <si>
    <t>&lt;StationName&gt; &lt;FeederID&gt; &lt;TypeGroup&gt; &lt;device&gt; FISR ENABLED FOR SWITCH REASON: MEASUREMENT VALUE CHANGED TO ENABLED</t>
  </si>
  <si>
    <t>&lt;StationName&gt; &lt;FeederID&gt; &lt;TypeGroup&gt; &lt;device&gt; AFR ENABLED FOR SWITCH REASON: MEASUREMENT VALUE CHANGED TO ENABLED</t>
  </si>
  <si>
    <t>&lt;StationName&gt; &lt;FeederID&gt; &lt;TypeGroup&gt; &lt;device&gt; AFR DISABLED FOR SWITCH REASON: MEASUREMENT VALUE CHANGED TO DISABLED</t>
  </si>
  <si>
    <t>HM001</t>
  </si>
  <si>
    <t>Event ID</t>
  </si>
  <si>
    <t>Conflict ID</t>
  </si>
  <si>
    <t>Start Time</t>
  </si>
  <si>
    <t>End Time</t>
  </si>
  <si>
    <t>Conflict Feedername</t>
  </si>
  <si>
    <t>HM002</t>
  </si>
  <si>
    <t>Event Sub Type</t>
  </si>
  <si>
    <t>Final State</t>
  </si>
  <si>
    <t>Modified By</t>
  </si>
  <si>
    <t>HM003</t>
  </si>
  <si>
    <t>Initial State</t>
  </si>
  <si>
    <t>HM004</t>
  </si>
  <si>
    <t>Conflict Manager: A scheduled work conflict is detected at %&lt;conflFdr&gt;s between %&lt;evtStr&gt;s %&lt;eventId&gt;s and %&lt;cnfStr&gt;s %&lt;conflId&gt;s from %&lt;startTime&gt;s to %&lt;endTime&gt;s. Review if scheduled work can be postponed; if not, explore alternative switching options</t>
  </si>
  <si>
    <t>Conflict Manager: A scheduled work conflict is detected at BETHPAGE F1043 between Hazard Event RFW-123 and Switching Request SWO-711 from 11/21/2025 17:00 to 11/22/2025 21:00. Review if scheduled work can be postponed; if not, explore alternative switching options.</t>
  </si>
  <si>
    <t>Event type, Conflcit type</t>
  </si>
  <si>
    <t>%&lt;evtSubTyp&gt;s event %&lt;eventId&gt;s is created in %&lt;finState&gt;s State by %&lt;modBy&gt;s</t>
  </si>
  <si>
    <t>%&lt;evtSubTyp&gt;s event %&lt;eventId&gt;s transitioned from %&lt;iniState&gt;s to %&lt;finState&gt;s by %&lt;modBy&gt;s</t>
  </si>
  <si>
    <t>%&lt;evtSubTyp&gt;s event %&lt;eventId&gt;s is canceled from %&lt;iniState&gt;s stage by %&lt;modBy&gt;s</t>
  </si>
  <si>
    <t>Red Flag Warning event RFW-123 is created in Watch State by user123</t>
  </si>
  <si>
    <t>Red Flag Warning event RFW-123 transitioned from Watch to Pending by user123</t>
  </si>
  <si>
    <t>Red Flag Warning event RFW-123 is canceled from Watch stage by user123</t>
  </si>
  <si>
    <t>Hazard event created</t>
  </si>
  <si>
    <t>Hazard event state transition from one state to another state (e.g., Watch to Pending, Pending to Active)</t>
  </si>
  <si>
    <t>Hazard event cancelled</t>
  </si>
  <si>
    <t>Reporting Scheduling conflicts between Hazard event and planned work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</si>
</sst>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9"/>
      <name val="Calibri"/>
      <family val="3"/>
      <charset val="134"/>
      <scheme val="minor"/>
    </font>
    <font>
      <sz val="10"/>
      <color theme="1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</font>
    <font>
      <sz val="10"/>
      <color theme="1"/>
      <name val="Arial"/>
    </font>
    <font>
      <sz val="10"/>
      <color indexed="8"/>
      <name val="Arial"/>
    </font>
    <font>
      <sz val="9.800000000000000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vertical="top"/>
    </xf>
    <xf numFmtId="0" fontId="0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NumberFormat="1" applyFont="1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0" xfId="0" applyNumberFormat="1" applyFont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0" xfId="0" applyNumberFormat="1" applyFont="1" applyFill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12" fillId="0" borderId="0" xfId="0" applyFont="1" applyAlignment="1">
      <alignment vertical="top" wrapText="1"/>
    </xf>
    <xf numFmtId="0" fontId="12" fillId="0" borderId="0" xfId="0" applyNumberFormat="1" applyFont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Fill="1" applyBorder="1" applyAlignment="1">
      <alignment horizontal="left" vertical="top" wrapText="1"/>
    </xf>
    <xf numFmtId="0" fontId="9" fillId="0" borderId="1" xfId="0" applyNumberFormat="1" applyFont="1" applyBorder="1" applyAlignment="1">
      <alignment vertical="top" wrapText="1"/>
    </xf>
    <xf numFmtId="0" fontId="3" fillId="0" borderId="1" xfId="0" applyNumberFormat="1" applyFont="1" applyBorder="1" applyAlignment="1">
      <alignment vertical="top" wrapText="1"/>
    </xf>
    <xf numFmtId="0" fontId="12" fillId="0" borderId="1" xfId="0" applyNumberFormat="1" applyFont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14" fillId="0" borderId="1" xfId="0" applyFont="1" applyFill="1" applyBorder="1" applyAlignment="1">
      <alignment vertical="top" wrapText="1"/>
    </xf>
    <xf numFmtId="0" fontId="16" fillId="0" borderId="1" xfId="0" applyNumberFormat="1" applyFont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2" fillId="0" borderId="1" xfId="0" applyFont="1" applyFill="1" applyBorder="1" applyAlignment="1">
      <alignment vertical="top" wrapText="1"/>
    </xf>
    <xf numFmtId="0" fontId="15" fillId="0" borderId="1" xfId="0" applyNumberFormat="1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0" borderId="6" xfId="0" applyNumberFormat="1" applyFont="1" applyBorder="1" applyAlignment="1">
      <alignment vertical="top" wrapText="1"/>
    </xf>
    <xf numFmtId="0" fontId="17" fillId="0" borderId="1" xfId="0" applyNumberFormat="1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7" fillId="0" borderId="0" xfId="0" applyNumberFormat="1" applyFont="1" applyAlignment="1">
      <alignment vertical="top" wrapText="1"/>
    </xf>
    <xf numFmtId="0" fontId="17" fillId="0" borderId="9" xfId="0" applyNumberFormat="1" applyFont="1" applyBorder="1" applyAlignment="1">
      <alignment vertical="top" wrapText="1"/>
    </xf>
    <xf numFmtId="0" fontId="17" fillId="0" borderId="9" xfId="0" applyFont="1" applyBorder="1" applyAlignment="1">
      <alignment vertical="top" wrapText="1"/>
    </xf>
    <xf numFmtId="0" fontId="17" fillId="0" borderId="9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9" fillId="0" borderId="0" xfId="0" applyFont="1" applyAlignment="1">
      <alignment vertical="center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3" fillId="0" borderId="9" xfId="0" applyFont="1" applyFill="1" applyBorder="1" applyAlignment="1">
      <alignment vertical="top" wrapText="1"/>
    </xf>
  </cellXfs>
  <cellStyles count="1"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12699</xdr:colOff>
      <xdr:row>0</xdr:row>
      <xdr:rowOff>12699</xdr:rowOff>
    </xdr:from>
    <xdr:to>
      <xdr:col>11</xdr:col>
      <xdr:colOff>123825</xdr:colOff>
      <xdr:row>64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>
        <a:xfrm>
          <a:off x="12699" y="12699"/>
          <a:ext cx="6816726" cy="11655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000" b="1" i="0" u="none" strike="noStrike">
            <a:solidFill>
              <a:schemeClr val="dk1"/>
            </a:solidFill>
            <a:effectLst/>
            <a:latin typeface="+mn-lt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0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srgbClr val="005E60"/>
              </a:solidFill>
              <a:effectLst/>
              <a:uLnTx/>
              <a:uFillTx/>
              <a:latin typeface="GE Inspira Sans" panose="020B0503060000000003" pitchFamily="34" charset="0"/>
              <a:ea typeface="+mn-ea"/>
              <a:cs typeface="Arial" pitchFamily="34" charset="0"/>
            </a:rPr>
            <a:t>ADMS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3360A7"/>
            </a:solidFill>
            <a:effectLst/>
            <a:uLnTx/>
            <a:uFillTx/>
            <a:latin typeface="GE Inspira Sans" panose="020B0503060000000003" pitchFamily="34" charset="0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005E60"/>
              </a:solidFill>
              <a:effectLst/>
              <a:uLnTx/>
              <a:uFillTx/>
              <a:latin typeface="GE Inspira Sans" panose="020B0503060000000003" pitchFamily="34" charset="0"/>
              <a:ea typeface="+mn-ea"/>
              <a:cs typeface="Arial" pitchFamily="34" charset="0"/>
            </a:rPr>
            <a:t>16.0.0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005E60"/>
            </a:solidFill>
            <a:effectLst/>
            <a:uLnTx/>
            <a:uFillTx/>
            <a:latin typeface="GE Inspira Sans" panose="020B0503060000000003" pitchFamily="34" charset="0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005E60"/>
            </a:solidFill>
            <a:effectLst/>
            <a:uLnTx/>
            <a:uFillTx/>
            <a:latin typeface="GE Inspira Sans" panose="020B0503060000000003" pitchFamily="34" charset="0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005E60"/>
              </a:solidFill>
              <a:effectLst/>
              <a:uLnTx/>
              <a:uFillTx/>
              <a:latin typeface="GE Inspira Sans" panose="020B0503060000000003" pitchFamily="34" charset="0"/>
              <a:ea typeface="+mn-ea"/>
              <a:cs typeface="Arial" pitchFamily="34" charset="0"/>
            </a:rPr>
            <a:t>Alarmable Events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>
              <a:tab pos="1371600" algn="l"/>
            </a:tabLst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005E60"/>
            </a:solidFill>
            <a:effectLst/>
            <a:uLnTx/>
            <a:uFillTx/>
            <a:latin typeface="GE Inspira Sans" panose="020B0503060000000003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>
              <a:tab pos="1371600" algn="l"/>
            </a:tabLst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005E60"/>
              </a:solidFill>
              <a:effectLst/>
              <a:uLnTx/>
              <a:uFillTx/>
              <a:latin typeface="GE Inspira Sans" panose="020B0503060000000003" pitchFamily="34" charset="0"/>
              <a:ea typeface="+mn-ea"/>
              <a:cs typeface="+mn-cs"/>
            </a:rPr>
            <a:t>Document Date: Apr 24, 2024</a:t>
          </a:r>
        </a:p>
        <a:p>
          <a:endParaRPr lang="en-US" sz="1300" b="1" i="0" u="none" strike="noStrike">
            <a:solidFill>
              <a:schemeClr val="dk1"/>
            </a:solidFill>
            <a:effectLst/>
            <a:latin typeface="+mn-lt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>
              <a:tab pos="1371600" algn="l"/>
            </a:tabLst>
            <a:defRPr/>
          </a:pP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1300" b="1" i="0" u="none" strike="noStrike">
            <a:solidFill>
              <a:schemeClr val="dk1"/>
            </a:solidFill>
            <a:effectLst/>
            <a:latin typeface="+mn-lt"/>
            <a:ea typeface="+mn-ea"/>
            <a:cs typeface="Arial" pitchFamily="34" charset="0"/>
          </a:endParaRPr>
        </a:p>
        <a:p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This spreadsheet describes the "proxysrv.almmsg"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message  formats and parameters in the following worksheets.</a:t>
          </a:r>
          <a:endParaRPr lang="en-US"/>
        </a:p>
        <a:p>
          <a:pPr fontAlgn="base"/>
          <a:endParaRPr lang="en-US" sz="1100" b="0" i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1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Event Types</a:t>
          </a:r>
          <a:endParaRPr lang="en-US"/>
        </a:p>
        <a:p>
          <a:r>
            <a:rPr 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This worksheet lists the alarmable event types that IDMS (including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switching, incidents, and DNAF functions) can send to the Alarm subsystem.  The worksheet contains the following the columns:</a:t>
          </a:r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Event Type Name </a:t>
          </a:r>
          <a:r>
            <a:rPr lang="en-US" sz="11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n-US" sz="1100" b="1" i="0" u="non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Sort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 - This is used for sorting for this sheet only.  It does not impact what is sent to the Alarm subsystem.</a:t>
          </a:r>
          <a:endParaRPr lang="en-US"/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Purpose </a:t>
          </a:r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Operator Can Inhibit</a:t>
          </a:r>
          <a:endParaRPr lang="en-US" b="1" u="none"/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Default Text String </a:t>
          </a:r>
          <a:endParaRPr lang="en-US" b="1" u="none"/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Example Default Message  </a:t>
          </a:r>
          <a:endParaRPr lang="en-US" b="1" u="none"/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Category  </a:t>
          </a:r>
          <a:endParaRPr lang="en-US" b="1" u="none"/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AOR(s) </a:t>
          </a:r>
          <a:endParaRPr lang="en-US" b="1" u="none"/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Message Format 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- This refers to specific Message Format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used, as defined on the Message Formats sheet.</a:t>
          </a:r>
          <a:endParaRPr lang="en-US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Flag(s)  </a:t>
          </a:r>
          <a:endParaRPr lang="en-US" b="1" u="none"/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latin typeface="+mn-lt"/>
              <a:ea typeface="+mn-ea"/>
              <a:cs typeface="+mn-cs"/>
            </a:rPr>
            <a:t>Real(s)  </a:t>
          </a:r>
        </a:p>
        <a:p>
          <a:pPr marL="182880" indent="-182880">
            <a:buFont typeface="Arial" pitchFamily="34" charset="0"/>
            <a:buChar char="•"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Int(s)  </a:t>
          </a:r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ID</a:t>
          </a:r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Object ID</a:t>
          </a:r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Location ID</a:t>
          </a:r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Composite ID</a:t>
          </a:r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URL String</a:t>
          </a:r>
          <a:endParaRPr lang="en-US" b="1" u="none"/>
        </a:p>
        <a:p>
          <a:pPr fontAlgn="base"/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Note that an event's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0" i="0" u="none">
              <a:solidFill>
                <a:schemeClr val="dk1"/>
              </a:solidFill>
              <a:latin typeface="+mn-lt"/>
              <a:ea typeface="+mn-ea"/>
              <a:cs typeface="+mn-cs"/>
            </a:rPr>
            <a:t>Location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 value is set independently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of its event type, but is always set to the eight character substation ID.  The value is not dependent on whether the event is for a device inside or outside of its primary substation. 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The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event's </a:t>
          </a:r>
          <a:r>
            <a:rPr lang="en-US" sz="110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Location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is always based on the nominal topology as opposed to the actual topology.</a:t>
          </a:r>
          <a:endParaRPr lang="en-US" sz="1100" b="0" i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Message</a:t>
          </a:r>
          <a:r>
            <a:rPr lang="en-US" sz="1100" b="1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Formats</a:t>
          </a:r>
          <a:endParaRPr lang="en-US"/>
        </a:p>
        <a:p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This worksheet explains the message formats that are sent from IDMS to the Alarms subsystem (via proxysrv).  The worksheet contains the following columns:</a:t>
          </a:r>
          <a:endParaRPr lang="en-US"/>
        </a:p>
        <a:p>
          <a:pPr marL="182880" indent="-182880" fontAlgn="base">
            <a:buFont typeface="Arial" pitchFamily="34" charset="0"/>
            <a:buChar char="•"/>
          </a:pPr>
          <a:r>
            <a:rPr lang="en-US" sz="11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MessageFormat 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- The name of the message format.</a:t>
          </a:r>
          <a:endParaRPr lang="en-US" sz="1100" b="0" i="0" u="sng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182880" indent="-182880" fontAlgn="base">
            <a:buFont typeface="Arial" pitchFamily="34" charset="0"/>
            <a:buChar char="•"/>
          </a:pPr>
          <a:r>
            <a:rPr lang="en-US" sz="11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Sort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- This is used for sorting of this sheet only.  It does not impact what is sent to the Alarm subsystem.</a:t>
          </a:r>
          <a:endParaRPr lang="en-US" sz="1100" b="0" i="0" u="sng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182880" indent="-182880" fontAlgn="base">
            <a:buFont typeface="Arial" pitchFamily="34" charset="0"/>
            <a:buChar char="•"/>
          </a:pPr>
          <a:r>
            <a:rPr lang="en-US" sz="11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FieldName</a:t>
          </a:r>
          <a:r>
            <a:rPr lang="en-US" sz="1100" b="0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Beginning Position</a:t>
          </a:r>
          <a:endParaRPr lang="en-US" b="1" u="none"/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Ending Position (inclusive)</a:t>
          </a:r>
          <a:endParaRPr lang="en-US" b="1" u="none"/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FieldLength</a:t>
          </a:r>
          <a:endParaRPr lang="en-US" b="1" u="none"/>
        </a:p>
        <a:p>
          <a:pPr marL="182880" indent="-182880">
            <a:buFont typeface="Arial" pitchFamily="34" charset="0"/>
            <a:buChar char="•"/>
          </a:pPr>
          <a:r>
            <a:rPr lang="en-US" sz="11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Comments </a:t>
          </a:r>
          <a:endParaRPr lang="en-US" b="1" u="none"/>
        </a:p>
        <a:p>
          <a:endParaRPr lang="en-US" sz="1300" b="1" i="0" u="none" strike="noStrike">
            <a:solidFill>
              <a:schemeClr val="dk1"/>
            </a:solidFill>
            <a:effectLst/>
            <a:latin typeface="+mn-lt"/>
            <a:ea typeface="+mn-ea"/>
            <a:cs typeface="Arial" pitchFamily="34" charset="0"/>
          </a:endParaRPr>
        </a:p>
        <a:p>
          <a:endParaRPr lang="en-US" sz="1300" b="1" i="0" u="none" strike="noStrike">
            <a:solidFill>
              <a:schemeClr val="dk1"/>
            </a:solidFill>
            <a:effectLst/>
            <a:latin typeface="+mn-lt"/>
            <a:ea typeface="+mn-ea"/>
            <a:cs typeface="Arial" pitchFamily="34" charset="0"/>
          </a:endParaRPr>
        </a:p>
        <a:p>
          <a:endParaRPr lang="en-US" sz="1300" b="1" i="0" u="none" strike="noStrike">
            <a:solidFill>
              <a:schemeClr val="dk1"/>
            </a:solidFill>
            <a:effectLst/>
            <a:latin typeface="+mn-lt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rgbClr val="005E60"/>
              </a:solidFill>
              <a:effectLst/>
              <a:uLnTx/>
              <a:uFillTx/>
              <a:latin typeface="GE Inspira Sans" panose="020B0503060000000003" pitchFamily="34" charset="0"/>
              <a:ea typeface="+mn-ea"/>
              <a:cs typeface="+mn-cs"/>
            </a:rPr>
            <a:t>Copyright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5E60"/>
            </a:solidFill>
            <a:effectLst/>
            <a:uLnTx/>
            <a:uFillTx/>
            <a:latin typeface="GE Inspira Sans" panose="020B0503060000000003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Copyright 2025, GE Vernova and/or its affiliates ("GE Vernova"). All Rights Reserved. This document is the confidential and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proprietary information of GE Vernova and may not be reproduced, transmitted, stored, or copied in whole or in part, 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used to furnish information to others, without the prior written permission of GE Vernova.</a:t>
          </a:r>
        </a:p>
      </xdr:txBody>
    </xdr:sp>
    <xdr:clientData/>
  </xdr:twoCellAnchor>
  <xdr:twoCellAnchor editAs="oneCell">
    <xdr:from>
      <xdr:col>0</xdr:col>
      <xdr:colOff>91440</xdr:colOff>
      <xdr:row>1</xdr:row>
      <xdr:rowOff>60960</xdr:rowOff>
    </xdr:from>
    <xdr:to>
      <xdr:col>4</xdr:col>
      <xdr:colOff>325711</xdr:colOff>
      <xdr:row>4</xdr:row>
      <xdr:rowOff>102552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2CE5DB-64CF-DAEE-D4F8-B9C2CE1D7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43840"/>
          <a:ext cx="2672671" cy="5902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ptions" displayName="Exceptions" ref="A1:Q193" totalsRowShown="0" headerRowDxfId="55" dataDxfId="53" headerRowBorderDxfId="54" tableBorderDxfId="52" totalsRowBorderDxfId="51">
  <autoFilter ref="A1:Q193" xr:uid="{00000000-0009-0000-0100-000001000000}"/>
  <sortState xmlns:xlrd2="http://schemas.microsoft.com/office/spreadsheetml/2017/richdata2" ref="A2:Q189">
    <sortCondition ref="A1:A189"/>
  </sortState>
  <tableColumns count="17">
    <tableColumn id="13" xr3:uid="{00000000-0010-0000-0000-00000D000000}" name="Event Type Name" dataDxfId="50"/>
    <tableColumn id="9" xr3:uid="{00000000-0010-0000-0000-000009000000}" name="Sort" dataDxfId="49"/>
    <tableColumn id="3" xr3:uid="{00000000-0010-0000-0000-000003000000}" name="Purpose" dataDxfId="48"/>
    <tableColumn id="1" xr3:uid="{00000000-0010-0000-0000-000001000000}" name="Operator Can Inhibit" dataDxfId="47"/>
    <tableColumn id="4" xr3:uid="{00000000-0010-0000-0000-000004000000}" name="Default Text String" dataDxfId="46"/>
    <tableColumn id="2" xr3:uid="{00000000-0010-0000-0000-000002000000}" name="Example Default Message" dataDxfId="45"/>
    <tableColumn id="5" xr3:uid="{00000000-0010-0000-0000-000005000000}" name="Category" dataDxfId="44"/>
    <tableColumn id="7" xr3:uid="{00000000-0010-0000-0000-000007000000}" name="AOR(s)" dataDxfId="43"/>
    <tableColumn id="8" xr3:uid="{00000000-0010-0000-0000-000008000000}" name="Message Format" dataDxfId="42"/>
    <tableColumn id="10" xr3:uid="{00000000-0010-0000-0000-00000A000000}" name="Flag(s)" dataDxfId="41"/>
    <tableColumn id="12" xr3:uid="{00000000-0010-0000-0000-00000C000000}" name="Real(s)" dataDxfId="40"/>
    <tableColumn id="11" xr3:uid="{00000000-0010-0000-0000-00000B000000}" name="Int(s)" dataDxfId="39"/>
    <tableColumn id="17" xr3:uid="{00000000-0010-0000-0000-000011000000}" name="Group ID" dataDxfId="38"/>
    <tableColumn id="16" xr3:uid="{00000000-0010-0000-0000-000010000000}" name="Object ID" dataDxfId="37"/>
    <tableColumn id="15" xr3:uid="{00000000-0010-0000-0000-00000F000000}" name="Location ID" dataDxfId="36"/>
    <tableColumn id="14" xr3:uid="{00000000-0010-0000-0000-00000E000000}" name="Composite ID" dataDxfId="35"/>
    <tableColumn id="6" xr3:uid="{00000000-0010-0000-0000-000006000000}" name="URL String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G107" totalsRowShown="0" headerRowDxfId="33" dataDxfId="32">
  <autoFilter ref="A1:G107" xr:uid="{00000000-0009-0000-0100-000003000000}"/>
  <sortState xmlns:xlrd2="http://schemas.microsoft.com/office/spreadsheetml/2017/richdata2" ref="A2:G89">
    <sortCondition ref="A1:A89"/>
  </sortState>
  <tableColumns count="7">
    <tableColumn id="1" xr3:uid="{00000000-0010-0000-0100-000001000000}" name="Message_x000a_Format" dataDxfId="31"/>
    <tableColumn id="2" xr3:uid="{00000000-0010-0000-0100-000002000000}" name="Sort" dataDxfId="30"/>
    <tableColumn id="3" xr3:uid="{00000000-0010-0000-0100-000003000000}" name="Field_x000a_Name" dataDxfId="29"/>
    <tableColumn id="4" xr3:uid="{00000000-0010-0000-0100-000004000000}" name="Beginning _x000a_Position" dataDxfId="28"/>
    <tableColumn id="5" xr3:uid="{00000000-0010-0000-0100-000005000000}" name="Ending _x000a_Position_x000a_(inclusive)" dataDxfId="27">
      <calculatedColumnFormula>+Table3[[#This Row],[Field
Length]]+Table3[[#This Row],[Beginning 
Position]]-1</calculatedColumnFormula>
    </tableColumn>
    <tableColumn id="8" xr3:uid="{00000000-0010-0000-0100-000008000000}" name="Field_x000a_Length" dataDxfId="26">
      <calculatedColumnFormula>+Table3[[#This Row],[Ending 
Position
(inclusive)]]-Table3[[#This Row],[Beginning 
Position]]+1</calculatedColumnFormula>
    </tableColumn>
    <tableColumn id="7" xr3:uid="{00000000-0010-0000-0100-000007000000}" name="Comments" dataDxf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2" zoomScaleNormal="100" workbookViewId="0">
      <selection activeCell="M19" sqref="M19"/>
    </sheetView>
  </sheetViews>
  <sheetFormatPr defaultRowHeight="15"/>
  <sheetData/>
  <phoneticPr fontId="11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3"/>
  <sheetViews>
    <sheetView tabSelected="1" topLeftCell="E1" zoomScaleNormal="100" workbookViewId="0">
      <pane ySplit="1" topLeftCell="A183" activePane="bottomLeft" state="frozen"/>
      <selection pane="bottomLeft" activeCell="G199" sqref="G199"/>
    </sheetView>
  </sheetViews>
  <sheetFormatPr defaultColWidth="9.28515625" defaultRowHeight="15"/>
  <cols>
    <col min="1" max="1" width="12.7109375" style="1" bestFit="1" customWidth="1"/>
    <col min="2" max="2" width="6.7109375" style="2" bestFit="1" customWidth="1"/>
    <col min="3" max="3" width="146" style="1" bestFit="1" customWidth="1"/>
    <col min="4" max="4" width="20.7109375" style="1" bestFit="1" customWidth="1"/>
    <col min="5" max="5" width="131.42578125" style="1" bestFit="1" customWidth="1"/>
    <col min="6" max="6" width="134.7109375" style="1" bestFit="1" customWidth="1"/>
    <col min="7" max="7" width="13.28515625" style="1" bestFit="1" customWidth="1"/>
    <col min="8" max="8" width="19.85546875" style="1" bestFit="1" customWidth="1"/>
    <col min="9" max="9" width="10.7109375" style="1" bestFit="1" customWidth="1"/>
    <col min="10" max="10" width="50.7109375" style="1" bestFit="1" customWidth="1"/>
    <col min="11" max="11" width="9.140625" style="1" bestFit="1" customWidth="1"/>
    <col min="12" max="12" width="12.7109375" style="7" bestFit="1" customWidth="1"/>
    <col min="13" max="13" width="22.7109375" style="1" bestFit="1" customWidth="1"/>
    <col min="14" max="14" width="22.7109375" style="33" bestFit="1" customWidth="1"/>
    <col min="15" max="15" width="21.28515625" style="1" bestFit="1" customWidth="1"/>
    <col min="16" max="16" width="17.42578125" style="1" bestFit="1" customWidth="1"/>
    <col min="17" max="17" width="12.42578125" style="1" bestFit="1" customWidth="1"/>
    <col min="18" max="18" width="8.7109375" customWidth="1"/>
    <col min="19" max="16384" width="9.28515625" style="1"/>
  </cols>
  <sheetData>
    <row r="1" spans="1:19" s="14" customFormat="1" ht="25.5">
      <c r="A1" s="41" t="s">
        <v>22</v>
      </c>
      <c r="B1" s="42" t="s">
        <v>74</v>
      </c>
      <c r="C1" s="42" t="s">
        <v>10</v>
      </c>
      <c r="D1" s="13" t="s">
        <v>94</v>
      </c>
      <c r="E1" s="42" t="s">
        <v>84</v>
      </c>
      <c r="F1" s="42" t="s">
        <v>85</v>
      </c>
      <c r="G1" s="42" t="s">
        <v>11</v>
      </c>
      <c r="H1" s="42" t="s">
        <v>12</v>
      </c>
      <c r="I1" s="42" t="s">
        <v>91</v>
      </c>
      <c r="J1" s="42" t="s">
        <v>14</v>
      </c>
      <c r="K1" s="43" t="s">
        <v>15</v>
      </c>
      <c r="L1" s="42" t="s">
        <v>13</v>
      </c>
      <c r="M1" s="43" t="s">
        <v>113</v>
      </c>
      <c r="N1" s="44" t="s">
        <v>114</v>
      </c>
      <c r="O1" s="43" t="s">
        <v>115</v>
      </c>
      <c r="P1" s="43" t="s">
        <v>116</v>
      </c>
      <c r="Q1" s="43" t="s">
        <v>119</v>
      </c>
    </row>
    <row r="2" spans="1:19" ht="25.5">
      <c r="A2" s="45" t="s">
        <v>166</v>
      </c>
      <c r="B2" s="17">
        <f t="shared" ref="B2:B35" si="0">ROW()-1</f>
        <v>1</v>
      </c>
      <c r="C2" s="18" t="s">
        <v>145</v>
      </c>
      <c r="D2" s="18" t="s">
        <v>95</v>
      </c>
      <c r="E2" s="16" t="s">
        <v>477</v>
      </c>
      <c r="F2" s="16" t="s">
        <v>476</v>
      </c>
      <c r="G2" s="17" t="s">
        <v>48</v>
      </c>
      <c r="H2" s="17" t="s">
        <v>16</v>
      </c>
      <c r="I2" s="6" t="s">
        <v>72</v>
      </c>
      <c r="J2" s="16" t="s">
        <v>156</v>
      </c>
      <c r="K2" s="17"/>
      <c r="L2" s="17" t="s">
        <v>18</v>
      </c>
      <c r="M2" s="17" t="s">
        <v>134</v>
      </c>
      <c r="N2" s="40" t="s">
        <v>117</v>
      </c>
      <c r="O2" s="17" t="s">
        <v>118</v>
      </c>
      <c r="P2" s="17" t="s">
        <v>127</v>
      </c>
      <c r="Q2" s="17" t="s">
        <v>121</v>
      </c>
      <c r="R2" s="1"/>
      <c r="S2"/>
    </row>
    <row r="3" spans="1:19" ht="25.5">
      <c r="A3" s="17" t="s">
        <v>167</v>
      </c>
      <c r="B3" s="17">
        <f t="shared" si="0"/>
        <v>2</v>
      </c>
      <c r="C3" s="17" t="s">
        <v>708</v>
      </c>
      <c r="D3" s="17" t="s">
        <v>95</v>
      </c>
      <c r="E3" s="16" t="s">
        <v>478</v>
      </c>
      <c r="F3" s="16" t="s">
        <v>479</v>
      </c>
      <c r="G3" s="17" t="s">
        <v>48</v>
      </c>
      <c r="H3" s="17" t="s">
        <v>16</v>
      </c>
      <c r="I3" s="6" t="s">
        <v>73</v>
      </c>
      <c r="J3" s="16" t="s">
        <v>157</v>
      </c>
      <c r="K3" s="17"/>
      <c r="L3" s="17" t="s">
        <v>150</v>
      </c>
      <c r="M3" s="17" t="s">
        <v>134</v>
      </c>
      <c r="N3" s="40" t="s">
        <v>117</v>
      </c>
      <c r="O3" s="17" t="s">
        <v>118</v>
      </c>
      <c r="P3" s="17" t="s">
        <v>127</v>
      </c>
      <c r="Q3" s="17" t="s">
        <v>121</v>
      </c>
      <c r="R3" s="1"/>
    </row>
    <row r="4" spans="1:19" ht="25.5">
      <c r="A4" s="17" t="s">
        <v>168</v>
      </c>
      <c r="B4" s="17">
        <f t="shared" si="0"/>
        <v>3</v>
      </c>
      <c r="C4" s="17" t="s">
        <v>709</v>
      </c>
      <c r="D4" s="17" t="s">
        <v>95</v>
      </c>
      <c r="E4" s="16" t="s">
        <v>707</v>
      </c>
      <c r="F4" s="16" t="s">
        <v>480</v>
      </c>
      <c r="G4" s="17" t="s">
        <v>48</v>
      </c>
      <c r="H4" s="17" t="s">
        <v>16</v>
      </c>
      <c r="I4" s="6" t="s">
        <v>73</v>
      </c>
      <c r="J4" s="16" t="s">
        <v>157</v>
      </c>
      <c r="K4" s="17"/>
      <c r="L4" s="17" t="s">
        <v>18</v>
      </c>
      <c r="M4" s="17" t="s">
        <v>134</v>
      </c>
      <c r="N4" s="40" t="s">
        <v>117</v>
      </c>
      <c r="O4" s="17" t="s">
        <v>118</v>
      </c>
      <c r="P4" s="17" t="s">
        <v>127</v>
      </c>
      <c r="Q4" s="17" t="s">
        <v>121</v>
      </c>
      <c r="R4" s="1"/>
    </row>
    <row r="5" spans="1:19" ht="25.5">
      <c r="A5" s="45" t="s">
        <v>169</v>
      </c>
      <c r="B5" s="17">
        <f t="shared" si="0"/>
        <v>4</v>
      </c>
      <c r="C5" s="17" t="s">
        <v>710</v>
      </c>
      <c r="D5" s="18" t="s">
        <v>95</v>
      </c>
      <c r="E5" s="15" t="s">
        <v>391</v>
      </c>
      <c r="F5" s="15" t="s">
        <v>268</v>
      </c>
      <c r="G5" s="17" t="s">
        <v>48</v>
      </c>
      <c r="H5" s="17" t="s">
        <v>16</v>
      </c>
      <c r="I5" s="6" t="s">
        <v>73</v>
      </c>
      <c r="J5" s="16" t="s">
        <v>157</v>
      </c>
      <c r="K5" s="17"/>
      <c r="L5" s="17" t="s">
        <v>18</v>
      </c>
      <c r="M5" s="17" t="s">
        <v>134</v>
      </c>
      <c r="N5" s="40" t="s">
        <v>117</v>
      </c>
      <c r="O5" s="17" t="s">
        <v>118</v>
      </c>
      <c r="P5" s="17" t="s">
        <v>127</v>
      </c>
      <c r="Q5" s="17" t="s">
        <v>121</v>
      </c>
      <c r="R5" s="1"/>
    </row>
    <row r="6" spans="1:19" ht="25.5">
      <c r="A6" s="45" t="s">
        <v>271</v>
      </c>
      <c r="B6" s="17">
        <f t="shared" si="0"/>
        <v>5</v>
      </c>
      <c r="C6" s="18" t="s">
        <v>272</v>
      </c>
      <c r="D6" s="18" t="s">
        <v>95</v>
      </c>
      <c r="E6" s="16" t="s">
        <v>481</v>
      </c>
      <c r="F6" s="16" t="s">
        <v>482</v>
      </c>
      <c r="G6" s="17" t="s">
        <v>48</v>
      </c>
      <c r="H6" s="17" t="s">
        <v>16</v>
      </c>
      <c r="I6" s="6" t="s">
        <v>73</v>
      </c>
      <c r="J6" s="16" t="s">
        <v>18</v>
      </c>
      <c r="K6" s="17"/>
      <c r="L6" s="17" t="s">
        <v>18</v>
      </c>
      <c r="M6" s="17" t="s">
        <v>134</v>
      </c>
      <c r="N6" s="40" t="s">
        <v>117</v>
      </c>
      <c r="O6" s="17" t="s">
        <v>118</v>
      </c>
      <c r="P6" s="17" t="s">
        <v>127</v>
      </c>
      <c r="Q6" s="17" t="s">
        <v>121</v>
      </c>
      <c r="R6" s="1"/>
    </row>
    <row r="7" spans="1:19" ht="25.5">
      <c r="A7" s="46" t="s">
        <v>451</v>
      </c>
      <c r="B7" s="17">
        <f t="shared" si="0"/>
        <v>6</v>
      </c>
      <c r="C7" s="17" t="s">
        <v>489</v>
      </c>
      <c r="D7" s="18" t="s">
        <v>95</v>
      </c>
      <c r="E7" s="16" t="s">
        <v>490</v>
      </c>
      <c r="F7" s="16" t="s">
        <v>491</v>
      </c>
      <c r="G7" s="17" t="s">
        <v>48</v>
      </c>
      <c r="H7" s="17" t="s">
        <v>16</v>
      </c>
      <c r="I7" s="6" t="s">
        <v>73</v>
      </c>
      <c r="J7" s="16" t="s">
        <v>18</v>
      </c>
      <c r="K7" s="17"/>
      <c r="L7" s="17" t="s">
        <v>18</v>
      </c>
      <c r="M7" s="17" t="s">
        <v>134</v>
      </c>
      <c r="N7" s="40" t="s">
        <v>117</v>
      </c>
      <c r="O7" s="17" t="s">
        <v>118</v>
      </c>
      <c r="P7" s="17" t="s">
        <v>127</v>
      </c>
      <c r="Q7" s="17" t="s">
        <v>121</v>
      </c>
      <c r="R7" s="1"/>
    </row>
    <row r="8" spans="1:19" ht="25.5">
      <c r="A8" s="46" t="s">
        <v>452</v>
      </c>
      <c r="B8" s="17">
        <f t="shared" si="0"/>
        <v>7</v>
      </c>
      <c r="C8" s="17" t="s">
        <v>483</v>
      </c>
      <c r="D8" s="18" t="s">
        <v>95</v>
      </c>
      <c r="E8" s="16" t="s">
        <v>484</v>
      </c>
      <c r="F8" s="16" t="s">
        <v>485</v>
      </c>
      <c r="G8" s="17" t="s">
        <v>48</v>
      </c>
      <c r="H8" s="17" t="s">
        <v>16</v>
      </c>
      <c r="I8" s="6" t="s">
        <v>73</v>
      </c>
      <c r="J8" s="16" t="s">
        <v>18</v>
      </c>
      <c r="K8" s="17"/>
      <c r="L8" s="17" t="s">
        <v>18</v>
      </c>
      <c r="M8" s="17" t="s">
        <v>134</v>
      </c>
      <c r="N8" s="40" t="s">
        <v>117</v>
      </c>
      <c r="O8" s="17" t="s">
        <v>118</v>
      </c>
      <c r="P8" s="31" t="s">
        <v>126</v>
      </c>
      <c r="Q8" s="17" t="s">
        <v>121</v>
      </c>
      <c r="R8" s="1"/>
    </row>
    <row r="9" spans="1:19" ht="25.5">
      <c r="A9" s="46" t="s">
        <v>453</v>
      </c>
      <c r="B9" s="17">
        <f t="shared" si="0"/>
        <v>8</v>
      </c>
      <c r="C9" s="17" t="s">
        <v>492</v>
      </c>
      <c r="D9" s="18" t="s">
        <v>95</v>
      </c>
      <c r="E9" s="16" t="s">
        <v>493</v>
      </c>
      <c r="F9" s="16" t="s">
        <v>533</v>
      </c>
      <c r="G9" s="17" t="s">
        <v>48</v>
      </c>
      <c r="H9" s="17" t="s">
        <v>16</v>
      </c>
      <c r="I9" s="6" t="s">
        <v>73</v>
      </c>
      <c r="J9" s="16" t="s">
        <v>18</v>
      </c>
      <c r="K9" s="17"/>
      <c r="L9" s="17" t="s">
        <v>18</v>
      </c>
      <c r="M9" s="17" t="s">
        <v>134</v>
      </c>
      <c r="N9" s="40" t="s">
        <v>117</v>
      </c>
      <c r="O9" s="17" t="s">
        <v>118</v>
      </c>
      <c r="P9" s="31" t="s">
        <v>126</v>
      </c>
      <c r="Q9" s="17" t="s">
        <v>121</v>
      </c>
      <c r="R9" s="1"/>
    </row>
    <row r="10" spans="1:19" ht="25.5">
      <c r="A10" s="46" t="s">
        <v>454</v>
      </c>
      <c r="B10" s="17">
        <f t="shared" si="0"/>
        <v>9</v>
      </c>
      <c r="C10" s="17" t="s">
        <v>486</v>
      </c>
      <c r="D10" s="18" t="s">
        <v>95</v>
      </c>
      <c r="E10" s="16" t="s">
        <v>487</v>
      </c>
      <c r="F10" s="16" t="s">
        <v>488</v>
      </c>
      <c r="G10" s="17" t="s">
        <v>48</v>
      </c>
      <c r="H10" s="17" t="s">
        <v>16</v>
      </c>
      <c r="I10" s="6" t="s">
        <v>73</v>
      </c>
      <c r="J10" s="16" t="s">
        <v>18</v>
      </c>
      <c r="K10" s="17"/>
      <c r="L10" s="17" t="s">
        <v>18</v>
      </c>
      <c r="M10" s="17" t="s">
        <v>134</v>
      </c>
      <c r="N10" s="40" t="s">
        <v>117</v>
      </c>
      <c r="O10" s="17" t="s">
        <v>118</v>
      </c>
      <c r="P10" s="31" t="s">
        <v>126</v>
      </c>
      <c r="Q10" s="17" t="s">
        <v>121</v>
      </c>
      <c r="R10" s="1"/>
    </row>
    <row r="11" spans="1:19" ht="63.75">
      <c r="A11" s="46" t="s">
        <v>682</v>
      </c>
      <c r="B11" s="17">
        <f t="shared" si="0"/>
        <v>10</v>
      </c>
      <c r="C11" s="17" t="s">
        <v>867</v>
      </c>
      <c r="D11" s="18" t="s">
        <v>95</v>
      </c>
      <c r="E11" s="16" t="s">
        <v>865</v>
      </c>
      <c r="F11" s="16" t="s">
        <v>866</v>
      </c>
      <c r="G11" s="17" t="s">
        <v>48</v>
      </c>
      <c r="H11" s="17" t="s">
        <v>16</v>
      </c>
      <c r="I11" s="6" t="s">
        <v>73</v>
      </c>
      <c r="J11" s="16" t="s">
        <v>18</v>
      </c>
      <c r="K11" s="17"/>
      <c r="L11" s="17" t="s">
        <v>18</v>
      </c>
      <c r="M11" s="17" t="s">
        <v>134</v>
      </c>
      <c r="N11" s="40" t="s">
        <v>117</v>
      </c>
      <c r="O11" s="17" t="s">
        <v>118</v>
      </c>
      <c r="P11" s="31" t="s">
        <v>126</v>
      </c>
      <c r="Q11" s="17" t="s">
        <v>121</v>
      </c>
      <c r="R11" s="1"/>
    </row>
    <row r="12" spans="1:19" ht="25.5">
      <c r="A12" s="45" t="s">
        <v>170</v>
      </c>
      <c r="B12" s="17">
        <f t="shared" si="0"/>
        <v>11</v>
      </c>
      <c r="C12" s="17" t="s">
        <v>496</v>
      </c>
      <c r="D12" s="18" t="s">
        <v>95</v>
      </c>
      <c r="E12" s="16" t="s">
        <v>497</v>
      </c>
      <c r="F12" s="16" t="s">
        <v>494</v>
      </c>
      <c r="G12" s="17" t="s">
        <v>48</v>
      </c>
      <c r="H12" s="17" t="s">
        <v>16</v>
      </c>
      <c r="I12" s="6" t="s">
        <v>72</v>
      </c>
      <c r="J12" s="16" t="s">
        <v>156</v>
      </c>
      <c r="K12" s="17"/>
      <c r="L12" s="17" t="s">
        <v>18</v>
      </c>
      <c r="M12" s="17" t="s">
        <v>134</v>
      </c>
      <c r="N12" s="40" t="s">
        <v>117</v>
      </c>
      <c r="O12" s="17" t="s">
        <v>118</v>
      </c>
      <c r="P12" s="17" t="s">
        <v>127</v>
      </c>
      <c r="Q12" s="17" t="s">
        <v>121</v>
      </c>
      <c r="R12" s="1"/>
    </row>
    <row r="13" spans="1:19" ht="25.5">
      <c r="A13" s="46" t="s">
        <v>457</v>
      </c>
      <c r="B13" s="17">
        <f t="shared" si="0"/>
        <v>12</v>
      </c>
      <c r="C13" s="17" t="s">
        <v>724</v>
      </c>
      <c r="D13" s="18" t="s">
        <v>95</v>
      </c>
      <c r="E13" s="16" t="s">
        <v>502</v>
      </c>
      <c r="F13" s="16" t="s">
        <v>503</v>
      </c>
      <c r="G13" s="17" t="s">
        <v>48</v>
      </c>
      <c r="H13" s="17" t="s">
        <v>16</v>
      </c>
      <c r="I13" s="6" t="s">
        <v>72</v>
      </c>
      <c r="J13" s="16" t="s">
        <v>156</v>
      </c>
      <c r="K13" s="17"/>
      <c r="L13" s="17" t="s">
        <v>18</v>
      </c>
      <c r="M13" s="17" t="s">
        <v>134</v>
      </c>
      <c r="N13" s="40" t="s">
        <v>117</v>
      </c>
      <c r="O13" s="17" t="s">
        <v>118</v>
      </c>
      <c r="P13" s="17" t="s">
        <v>127</v>
      </c>
      <c r="Q13" s="17" t="s">
        <v>121</v>
      </c>
      <c r="R13" s="1"/>
    </row>
    <row r="14" spans="1:19" ht="25.5">
      <c r="A14" s="46" t="s">
        <v>455</v>
      </c>
      <c r="B14" s="17">
        <f t="shared" si="0"/>
        <v>13</v>
      </c>
      <c r="C14" s="17" t="s">
        <v>495</v>
      </c>
      <c r="D14" s="18" t="s">
        <v>95</v>
      </c>
      <c r="E14" s="16" t="s">
        <v>497</v>
      </c>
      <c r="F14" s="16" t="s">
        <v>500</v>
      </c>
      <c r="G14" s="17" t="s">
        <v>48</v>
      </c>
      <c r="H14" s="17" t="s">
        <v>16</v>
      </c>
      <c r="I14" s="6" t="s">
        <v>72</v>
      </c>
      <c r="J14" s="16" t="s">
        <v>156</v>
      </c>
      <c r="K14" s="17"/>
      <c r="L14" s="17" t="s">
        <v>18</v>
      </c>
      <c r="M14" s="17" t="s">
        <v>134</v>
      </c>
      <c r="N14" s="40" t="s">
        <v>117</v>
      </c>
      <c r="O14" s="17" t="s">
        <v>118</v>
      </c>
      <c r="P14" s="17" t="s">
        <v>127</v>
      </c>
      <c r="Q14" s="17" t="s">
        <v>121</v>
      </c>
      <c r="R14" s="1"/>
    </row>
    <row r="15" spans="1:19" ht="25.5">
      <c r="A15" s="46" t="s">
        <v>456</v>
      </c>
      <c r="B15" s="17">
        <f t="shared" si="0"/>
        <v>14</v>
      </c>
      <c r="C15" s="18" t="s">
        <v>498</v>
      </c>
      <c r="D15" s="18" t="s">
        <v>95</v>
      </c>
      <c r="E15" s="16" t="s">
        <v>499</v>
      </c>
      <c r="F15" s="16" t="s">
        <v>501</v>
      </c>
      <c r="G15" s="17" t="s">
        <v>48</v>
      </c>
      <c r="H15" s="17" t="s">
        <v>16</v>
      </c>
      <c r="I15" s="6" t="s">
        <v>72</v>
      </c>
      <c r="J15" s="16" t="s">
        <v>156</v>
      </c>
      <c r="K15" s="17"/>
      <c r="L15" s="17" t="s">
        <v>18</v>
      </c>
      <c r="M15" s="17" t="s">
        <v>134</v>
      </c>
      <c r="N15" s="40" t="s">
        <v>117</v>
      </c>
      <c r="O15" s="17" t="s">
        <v>118</v>
      </c>
      <c r="P15" s="17" t="s">
        <v>127</v>
      </c>
      <c r="Q15" s="17" t="s">
        <v>121</v>
      </c>
      <c r="R15" s="1"/>
    </row>
    <row r="16" spans="1:19" ht="25.5">
      <c r="A16" s="47" t="s">
        <v>459</v>
      </c>
      <c r="B16" s="17">
        <f t="shared" si="0"/>
        <v>15</v>
      </c>
      <c r="C16" s="31" t="s">
        <v>507</v>
      </c>
      <c r="D16" s="18" t="s">
        <v>95</v>
      </c>
      <c r="E16" s="16" t="s">
        <v>508</v>
      </c>
      <c r="F16" s="16" t="s">
        <v>509</v>
      </c>
      <c r="G16" s="17" t="s">
        <v>48</v>
      </c>
      <c r="H16" s="17" t="s">
        <v>16</v>
      </c>
      <c r="I16" s="6" t="s">
        <v>72</v>
      </c>
      <c r="J16" s="16" t="s">
        <v>156</v>
      </c>
      <c r="K16" s="17"/>
      <c r="L16" s="17" t="s">
        <v>18</v>
      </c>
      <c r="M16" s="17" t="s">
        <v>134</v>
      </c>
      <c r="N16" s="40" t="s">
        <v>117</v>
      </c>
      <c r="O16" s="17" t="s">
        <v>118</v>
      </c>
      <c r="P16" s="17" t="s">
        <v>127</v>
      </c>
      <c r="Q16" s="17" t="s">
        <v>121</v>
      </c>
      <c r="R16" s="1"/>
    </row>
    <row r="17" spans="1:18" ht="25.5">
      <c r="A17" s="46" t="s">
        <v>458</v>
      </c>
      <c r="B17" s="17">
        <f t="shared" si="0"/>
        <v>16</v>
      </c>
      <c r="C17" s="17" t="s">
        <v>504</v>
      </c>
      <c r="D17" s="18" t="s">
        <v>95</v>
      </c>
      <c r="E17" s="16" t="s">
        <v>505</v>
      </c>
      <c r="F17" s="16" t="s">
        <v>506</v>
      </c>
      <c r="G17" s="17" t="s">
        <v>48</v>
      </c>
      <c r="H17" s="17" t="s">
        <v>16</v>
      </c>
      <c r="I17" s="6" t="s">
        <v>72</v>
      </c>
      <c r="J17" s="16" t="s">
        <v>156</v>
      </c>
      <c r="K17" s="17"/>
      <c r="L17" s="17" t="s">
        <v>18</v>
      </c>
      <c r="M17" s="17" t="s">
        <v>134</v>
      </c>
      <c r="N17" s="40" t="s">
        <v>117</v>
      </c>
      <c r="O17" s="17" t="s">
        <v>118</v>
      </c>
      <c r="P17" s="17" t="s">
        <v>127</v>
      </c>
      <c r="Q17" s="17" t="s">
        <v>121</v>
      </c>
      <c r="R17" s="1"/>
    </row>
    <row r="18" spans="1:18" ht="25.5">
      <c r="A18" s="45" t="s">
        <v>171</v>
      </c>
      <c r="B18" s="17">
        <f t="shared" si="0"/>
        <v>17</v>
      </c>
      <c r="C18" s="18" t="s">
        <v>158</v>
      </c>
      <c r="D18" s="18" t="s">
        <v>95</v>
      </c>
      <c r="E18" s="16" t="s">
        <v>511</v>
      </c>
      <c r="F18" s="16" t="s">
        <v>510</v>
      </c>
      <c r="G18" s="17" t="s">
        <v>48</v>
      </c>
      <c r="H18" s="17" t="s">
        <v>16</v>
      </c>
      <c r="I18" s="6" t="s">
        <v>73</v>
      </c>
      <c r="J18" s="16" t="s">
        <v>157</v>
      </c>
      <c r="K18" s="17"/>
      <c r="L18" s="17" t="s">
        <v>18</v>
      </c>
      <c r="M18" s="17" t="s">
        <v>134</v>
      </c>
      <c r="N18" s="40" t="s">
        <v>117</v>
      </c>
      <c r="O18" s="17" t="s">
        <v>118</v>
      </c>
      <c r="P18" s="17" t="s">
        <v>120</v>
      </c>
      <c r="Q18" s="17" t="s">
        <v>121</v>
      </c>
      <c r="R18" s="1"/>
    </row>
    <row r="19" spans="1:18" ht="25.5">
      <c r="A19" s="45" t="s">
        <v>172</v>
      </c>
      <c r="B19" s="17">
        <f t="shared" si="0"/>
        <v>18</v>
      </c>
      <c r="C19" s="18" t="s">
        <v>159</v>
      </c>
      <c r="D19" s="18" t="s">
        <v>95</v>
      </c>
      <c r="E19" s="16" t="s">
        <v>424</v>
      </c>
      <c r="F19" s="16" t="s">
        <v>155</v>
      </c>
      <c r="G19" s="17" t="s">
        <v>48</v>
      </c>
      <c r="H19" s="17" t="s">
        <v>16</v>
      </c>
      <c r="I19" s="6" t="s">
        <v>73</v>
      </c>
      <c r="J19" s="16" t="s">
        <v>157</v>
      </c>
      <c r="K19" s="17"/>
      <c r="L19" s="17" t="s">
        <v>18</v>
      </c>
      <c r="M19" s="17" t="s">
        <v>134</v>
      </c>
      <c r="N19" s="40" t="s">
        <v>117</v>
      </c>
      <c r="O19" s="17" t="s">
        <v>118</v>
      </c>
      <c r="P19" s="17" t="s">
        <v>120</v>
      </c>
      <c r="Q19" s="17" t="s">
        <v>121</v>
      </c>
      <c r="R19" s="1"/>
    </row>
    <row r="20" spans="1:18" ht="25.5">
      <c r="A20" s="45" t="s">
        <v>173</v>
      </c>
      <c r="B20" s="17">
        <f t="shared" si="0"/>
        <v>19</v>
      </c>
      <c r="C20" s="18" t="s">
        <v>143</v>
      </c>
      <c r="D20" s="18" t="s">
        <v>95</v>
      </c>
      <c r="E20" s="16" t="s">
        <v>512</v>
      </c>
      <c r="F20" s="15" t="s">
        <v>265</v>
      </c>
      <c r="G20" s="17" t="s">
        <v>48</v>
      </c>
      <c r="H20" s="17" t="s">
        <v>16</v>
      </c>
      <c r="I20" s="6" t="s">
        <v>73</v>
      </c>
      <c r="J20" s="16" t="s">
        <v>157</v>
      </c>
      <c r="K20" s="17"/>
      <c r="L20" s="17" t="s">
        <v>18</v>
      </c>
      <c r="M20" s="17" t="s">
        <v>134</v>
      </c>
      <c r="N20" s="40" t="s">
        <v>117</v>
      </c>
      <c r="O20" s="17" t="s">
        <v>118</v>
      </c>
      <c r="P20" s="17" t="s">
        <v>120</v>
      </c>
      <c r="Q20" s="17" t="s">
        <v>121</v>
      </c>
      <c r="R20" s="1"/>
    </row>
    <row r="21" spans="1:18" ht="25.5">
      <c r="A21" s="17" t="s">
        <v>174</v>
      </c>
      <c r="B21" s="17">
        <f t="shared" si="0"/>
        <v>20</v>
      </c>
      <c r="C21" s="17" t="s">
        <v>515</v>
      </c>
      <c r="D21" s="17" t="s">
        <v>95</v>
      </c>
      <c r="E21" s="16" t="s">
        <v>513</v>
      </c>
      <c r="F21" s="16" t="s">
        <v>514</v>
      </c>
      <c r="G21" s="17" t="s">
        <v>48</v>
      </c>
      <c r="H21" s="17" t="s">
        <v>16</v>
      </c>
      <c r="I21" s="6" t="s">
        <v>73</v>
      </c>
      <c r="J21" s="16" t="s">
        <v>157</v>
      </c>
      <c r="K21" s="17"/>
      <c r="L21" s="17" t="s">
        <v>18</v>
      </c>
      <c r="M21" s="17" t="s">
        <v>134</v>
      </c>
      <c r="N21" s="40" t="s">
        <v>117</v>
      </c>
      <c r="O21" s="17" t="s">
        <v>118</v>
      </c>
      <c r="P21" s="17" t="s">
        <v>120</v>
      </c>
      <c r="Q21" s="17" t="s">
        <v>121</v>
      </c>
      <c r="R21" s="1"/>
    </row>
    <row r="22" spans="1:18" ht="25.5">
      <c r="A22" s="61" t="s">
        <v>888</v>
      </c>
      <c r="B22" s="62">
        <v>21</v>
      </c>
      <c r="C22" s="62" t="s">
        <v>890</v>
      </c>
      <c r="D22" s="62" t="s">
        <v>95</v>
      </c>
      <c r="E22" s="63" t="s">
        <v>896</v>
      </c>
      <c r="F22" s="63"/>
      <c r="G22" s="62" t="s">
        <v>48</v>
      </c>
      <c r="H22" s="17" t="s">
        <v>16</v>
      </c>
      <c r="I22" s="64" t="s">
        <v>72</v>
      </c>
      <c r="J22" s="63" t="s">
        <v>892</v>
      </c>
      <c r="K22" s="62"/>
      <c r="L22" s="17" t="s">
        <v>18</v>
      </c>
      <c r="M22" s="17" t="s">
        <v>134</v>
      </c>
      <c r="N22" s="40" t="s">
        <v>117</v>
      </c>
      <c r="O22" s="17" t="s">
        <v>118</v>
      </c>
      <c r="P22" s="17" t="s">
        <v>120</v>
      </c>
      <c r="Q22" s="17" t="s">
        <v>121</v>
      </c>
      <c r="R22" s="1"/>
    </row>
    <row r="23" spans="1:18" ht="25.5">
      <c r="A23" s="61" t="s">
        <v>889</v>
      </c>
      <c r="B23" s="62">
        <v>22</v>
      </c>
      <c r="C23" s="62" t="s">
        <v>891</v>
      </c>
      <c r="D23" s="62" t="s">
        <v>95</v>
      </c>
      <c r="E23" s="63" t="s">
        <v>895</v>
      </c>
      <c r="F23" s="63"/>
      <c r="G23" s="62" t="s">
        <v>48</v>
      </c>
      <c r="H23" s="17" t="s">
        <v>16</v>
      </c>
      <c r="I23" s="64" t="s">
        <v>72</v>
      </c>
      <c r="J23" s="63" t="s">
        <v>892</v>
      </c>
      <c r="K23" s="62"/>
      <c r="L23" s="17" t="s">
        <v>18</v>
      </c>
      <c r="M23" s="17" t="s">
        <v>134</v>
      </c>
      <c r="N23" s="40" t="s">
        <v>117</v>
      </c>
      <c r="O23" s="17" t="s">
        <v>118</v>
      </c>
      <c r="P23" s="17" t="s">
        <v>120</v>
      </c>
      <c r="Q23" s="17" t="s">
        <v>121</v>
      </c>
      <c r="R23" s="1"/>
    </row>
    <row r="24" spans="1:18" ht="114.75">
      <c r="A24" s="17" t="s">
        <v>75</v>
      </c>
      <c r="B24" s="17">
        <f t="shared" si="0"/>
        <v>23</v>
      </c>
      <c r="C24" s="17" t="s">
        <v>0</v>
      </c>
      <c r="D24" s="17" t="s">
        <v>95</v>
      </c>
      <c r="E24" s="16" t="s">
        <v>409</v>
      </c>
      <c r="F24" s="16" t="s">
        <v>372</v>
      </c>
      <c r="G24" s="3" t="s">
        <v>129</v>
      </c>
      <c r="H24" s="4" t="s">
        <v>130</v>
      </c>
      <c r="I24" s="5" t="s">
        <v>50</v>
      </c>
      <c r="J24" s="16" t="s">
        <v>131</v>
      </c>
      <c r="K24" s="17" t="s">
        <v>18</v>
      </c>
      <c r="L24" s="17" t="s">
        <v>18</v>
      </c>
      <c r="M24" s="17" t="s">
        <v>135</v>
      </c>
      <c r="N24" s="40" t="s">
        <v>117</v>
      </c>
      <c r="O24" s="17" t="s">
        <v>118</v>
      </c>
      <c r="P24" s="17" t="s">
        <v>120</v>
      </c>
      <c r="Q24" s="17" t="s">
        <v>121</v>
      </c>
      <c r="R24" s="1"/>
    </row>
    <row r="25" spans="1:18" ht="25.5">
      <c r="A25" s="17" t="s">
        <v>76</v>
      </c>
      <c r="B25" s="17">
        <f t="shared" si="0"/>
        <v>24</v>
      </c>
      <c r="C25" s="17" t="s">
        <v>1</v>
      </c>
      <c r="D25" s="17" t="s">
        <v>95</v>
      </c>
      <c r="E25" s="16" t="s">
        <v>642</v>
      </c>
      <c r="F25" s="16" t="s">
        <v>704</v>
      </c>
      <c r="G25" s="17" t="s">
        <v>21</v>
      </c>
      <c r="H25" s="17" t="s">
        <v>16</v>
      </c>
      <c r="I25" s="6" t="s">
        <v>50</v>
      </c>
      <c r="J25" s="16" t="s">
        <v>248</v>
      </c>
      <c r="K25" s="17" t="s">
        <v>18</v>
      </c>
      <c r="L25" s="17" t="s">
        <v>18</v>
      </c>
      <c r="M25" s="17" t="s">
        <v>134</v>
      </c>
      <c r="N25" s="40" t="s">
        <v>117</v>
      </c>
      <c r="O25" s="17" t="s">
        <v>118</v>
      </c>
      <c r="P25" s="17" t="s">
        <v>120</v>
      </c>
      <c r="Q25" s="17" t="s">
        <v>121</v>
      </c>
      <c r="R25" s="1"/>
    </row>
    <row r="26" spans="1:18" ht="25.5">
      <c r="A26" s="17" t="s">
        <v>77</v>
      </c>
      <c r="B26" s="17">
        <f t="shared" si="0"/>
        <v>25</v>
      </c>
      <c r="C26" s="17" t="s">
        <v>2</v>
      </c>
      <c r="D26" s="17" t="s">
        <v>95</v>
      </c>
      <c r="E26" s="16" t="s">
        <v>430</v>
      </c>
      <c r="F26" s="16" t="s">
        <v>408</v>
      </c>
      <c r="G26" s="17" t="s">
        <v>21</v>
      </c>
      <c r="H26" s="17" t="s">
        <v>16</v>
      </c>
      <c r="I26" s="6" t="s">
        <v>51</v>
      </c>
      <c r="J26" s="16" t="s">
        <v>17</v>
      </c>
      <c r="K26" s="17" t="s">
        <v>18</v>
      </c>
      <c r="L26" s="17" t="s">
        <v>18</v>
      </c>
      <c r="M26" s="17" t="s">
        <v>134</v>
      </c>
      <c r="N26" s="40" t="s">
        <v>117</v>
      </c>
      <c r="O26" s="17" t="s">
        <v>118</v>
      </c>
      <c r="P26" s="17" t="s">
        <v>122</v>
      </c>
      <c r="Q26" s="17" t="s">
        <v>121</v>
      </c>
      <c r="R26" s="1"/>
    </row>
    <row r="27" spans="1:18" ht="25.5">
      <c r="A27" s="17" t="s">
        <v>78</v>
      </c>
      <c r="B27" s="17">
        <f t="shared" si="0"/>
        <v>26</v>
      </c>
      <c r="C27" s="17" t="s">
        <v>3</v>
      </c>
      <c r="D27" s="17" t="s">
        <v>95</v>
      </c>
      <c r="E27" s="16" t="s">
        <v>431</v>
      </c>
      <c r="F27" s="16" t="s">
        <v>104</v>
      </c>
      <c r="G27" s="17" t="s">
        <v>21</v>
      </c>
      <c r="H27" s="17" t="s">
        <v>16</v>
      </c>
      <c r="I27" s="6" t="s">
        <v>58</v>
      </c>
      <c r="J27" s="16" t="s">
        <v>17</v>
      </c>
      <c r="K27" s="17" t="s">
        <v>18</v>
      </c>
      <c r="L27" s="17" t="s">
        <v>18</v>
      </c>
      <c r="M27" s="17" t="s">
        <v>134</v>
      </c>
      <c r="N27" s="40" t="s">
        <v>117</v>
      </c>
      <c r="O27" s="17" t="s">
        <v>118</v>
      </c>
      <c r="P27" s="17" t="s">
        <v>123</v>
      </c>
      <c r="Q27" s="17" t="s">
        <v>121</v>
      </c>
      <c r="R27" s="1"/>
    </row>
    <row r="28" spans="1:18" ht="25.5">
      <c r="A28" s="17" t="s">
        <v>79</v>
      </c>
      <c r="B28" s="17">
        <f t="shared" si="0"/>
        <v>27</v>
      </c>
      <c r="C28" s="17" t="s">
        <v>652</v>
      </c>
      <c r="D28" s="17" t="s">
        <v>95</v>
      </c>
      <c r="E28" s="16" t="s">
        <v>432</v>
      </c>
      <c r="F28" s="16" t="s">
        <v>649</v>
      </c>
      <c r="G28" s="17" t="s">
        <v>21</v>
      </c>
      <c r="H28" s="17" t="s">
        <v>16</v>
      </c>
      <c r="I28" s="6" t="s">
        <v>59</v>
      </c>
      <c r="J28" s="16" t="s">
        <v>17</v>
      </c>
      <c r="K28" s="17" t="s">
        <v>18</v>
      </c>
      <c r="L28" s="17" t="s">
        <v>18</v>
      </c>
      <c r="M28" s="17" t="s">
        <v>134</v>
      </c>
      <c r="N28" s="40" t="s">
        <v>117</v>
      </c>
      <c r="O28" s="17" t="s">
        <v>118</v>
      </c>
      <c r="P28" s="17" t="s">
        <v>124</v>
      </c>
      <c r="Q28" s="17" t="s">
        <v>121</v>
      </c>
      <c r="R28" s="1"/>
    </row>
    <row r="29" spans="1:18" ht="38.25">
      <c r="A29" s="17" t="s">
        <v>80</v>
      </c>
      <c r="B29" s="17">
        <f t="shared" si="0"/>
        <v>28</v>
      </c>
      <c r="C29" s="17" t="s">
        <v>41</v>
      </c>
      <c r="D29" s="17" t="s">
        <v>95</v>
      </c>
      <c r="E29" s="16" t="s">
        <v>880</v>
      </c>
      <c r="F29" s="16" t="s">
        <v>881</v>
      </c>
      <c r="G29" s="17" t="s">
        <v>21</v>
      </c>
      <c r="H29" s="17" t="s">
        <v>16</v>
      </c>
      <c r="I29" s="6" t="s">
        <v>61</v>
      </c>
      <c r="J29" s="16" t="s">
        <v>132</v>
      </c>
      <c r="K29" s="17" t="s">
        <v>18</v>
      </c>
      <c r="L29" s="17" t="s">
        <v>103</v>
      </c>
      <c r="M29" s="17" t="s">
        <v>134</v>
      </c>
      <c r="N29" s="40" t="s">
        <v>117</v>
      </c>
      <c r="O29" s="17" t="s">
        <v>118</v>
      </c>
      <c r="P29" s="17" t="s">
        <v>125</v>
      </c>
      <c r="Q29" s="17" t="s">
        <v>121</v>
      </c>
      <c r="R29" s="1"/>
    </row>
    <row r="30" spans="1:18" ht="89.25">
      <c r="A30" s="17" t="s">
        <v>162</v>
      </c>
      <c r="B30" s="17">
        <f t="shared" si="0"/>
        <v>29</v>
      </c>
      <c r="C30" s="17" t="s">
        <v>164</v>
      </c>
      <c r="D30" s="17" t="s">
        <v>95</v>
      </c>
      <c r="E30" s="16" t="s">
        <v>641</v>
      </c>
      <c r="F30" s="16" t="s">
        <v>373</v>
      </c>
      <c r="G30" s="17" t="s">
        <v>21</v>
      </c>
      <c r="H30" s="17" t="s">
        <v>16</v>
      </c>
      <c r="I30" s="6" t="s">
        <v>66</v>
      </c>
      <c r="J30" s="16" t="s">
        <v>163</v>
      </c>
      <c r="K30" s="17" t="s">
        <v>18</v>
      </c>
      <c r="L30" s="17" t="s">
        <v>18</v>
      </c>
      <c r="M30" s="17" t="s">
        <v>134</v>
      </c>
      <c r="N30" s="40" t="s">
        <v>117</v>
      </c>
      <c r="O30" s="17" t="s">
        <v>118</v>
      </c>
      <c r="P30" s="17" t="s">
        <v>120</v>
      </c>
      <c r="Q30" s="17" t="s">
        <v>121</v>
      </c>
      <c r="R30" s="1"/>
    </row>
    <row r="31" spans="1:18">
      <c r="A31" s="45" t="s">
        <v>316</v>
      </c>
      <c r="B31" s="17">
        <f t="shared" si="0"/>
        <v>30</v>
      </c>
      <c r="C31" s="18" t="s">
        <v>317</v>
      </c>
      <c r="D31" s="18" t="s">
        <v>95</v>
      </c>
      <c r="E31" s="16" t="s">
        <v>413</v>
      </c>
      <c r="F31" s="15" t="s">
        <v>318</v>
      </c>
      <c r="G31" s="18" t="s">
        <v>101</v>
      </c>
      <c r="H31" s="18" t="s">
        <v>18</v>
      </c>
      <c r="I31" s="19" t="s">
        <v>18</v>
      </c>
      <c r="J31" s="15" t="s">
        <v>18</v>
      </c>
      <c r="K31" s="18" t="s">
        <v>18</v>
      </c>
      <c r="L31" s="18" t="s">
        <v>18</v>
      </c>
      <c r="M31" s="18"/>
      <c r="N31" s="48"/>
      <c r="O31" s="18"/>
      <c r="P31" s="18"/>
      <c r="Q31" s="18"/>
      <c r="R31" s="1"/>
    </row>
    <row r="32" spans="1:18">
      <c r="A32" s="45" t="s">
        <v>319</v>
      </c>
      <c r="B32" s="17">
        <f t="shared" si="0"/>
        <v>31</v>
      </c>
      <c r="C32" s="18" t="s">
        <v>320</v>
      </c>
      <c r="D32" s="18" t="s">
        <v>95</v>
      </c>
      <c r="E32" s="16" t="s">
        <v>433</v>
      </c>
      <c r="F32" s="15" t="s">
        <v>321</v>
      </c>
      <c r="G32" s="18" t="s">
        <v>101</v>
      </c>
      <c r="H32" s="18" t="s">
        <v>18</v>
      </c>
      <c r="I32" s="19" t="s">
        <v>18</v>
      </c>
      <c r="J32" s="15" t="s">
        <v>18</v>
      </c>
      <c r="K32" s="18" t="s">
        <v>18</v>
      </c>
      <c r="L32" s="18" t="s">
        <v>18</v>
      </c>
      <c r="M32" s="18"/>
      <c r="N32" s="48"/>
      <c r="O32" s="18"/>
      <c r="P32" s="18"/>
      <c r="Q32" s="18"/>
      <c r="R32" s="1"/>
    </row>
    <row r="33" spans="1:18" ht="25.5">
      <c r="A33" s="17" t="s">
        <v>254</v>
      </c>
      <c r="B33" s="17">
        <f t="shared" si="0"/>
        <v>32</v>
      </c>
      <c r="C33" s="17" t="s">
        <v>255</v>
      </c>
      <c r="D33" s="17" t="s">
        <v>95</v>
      </c>
      <c r="E33" s="16" t="s">
        <v>434</v>
      </c>
      <c r="F33" s="16" t="s">
        <v>435</v>
      </c>
      <c r="G33" s="17" t="s">
        <v>21</v>
      </c>
      <c r="H33" s="17" t="s">
        <v>16</v>
      </c>
      <c r="I33" s="6" t="s">
        <v>50</v>
      </c>
      <c r="J33" s="16" t="s">
        <v>19</v>
      </c>
      <c r="K33" s="17" t="s">
        <v>18</v>
      </c>
      <c r="L33" s="17" t="s">
        <v>18</v>
      </c>
      <c r="M33" s="17" t="s">
        <v>134</v>
      </c>
      <c r="N33" s="40" t="s">
        <v>117</v>
      </c>
      <c r="O33" s="17" t="s">
        <v>118</v>
      </c>
      <c r="P33" s="17" t="s">
        <v>120</v>
      </c>
      <c r="Q33" s="17" t="s">
        <v>121</v>
      </c>
      <c r="R33" s="1"/>
    </row>
    <row r="34" spans="1:18" ht="25.5">
      <c r="A34" s="17" t="s">
        <v>260</v>
      </c>
      <c r="B34" s="17">
        <f t="shared" si="0"/>
        <v>33</v>
      </c>
      <c r="C34" s="17" t="s">
        <v>262</v>
      </c>
      <c r="D34" s="17" t="s">
        <v>95</v>
      </c>
      <c r="E34" s="16" t="s">
        <v>436</v>
      </c>
      <c r="F34" s="16" t="s">
        <v>437</v>
      </c>
      <c r="G34" s="17" t="s">
        <v>21</v>
      </c>
      <c r="H34" s="17" t="s">
        <v>16</v>
      </c>
      <c r="I34" s="6" t="s">
        <v>50</v>
      </c>
      <c r="J34" s="16" t="s">
        <v>264</v>
      </c>
      <c r="K34" s="17" t="s">
        <v>18</v>
      </c>
      <c r="L34" s="17" t="s">
        <v>18</v>
      </c>
      <c r="M34" s="17" t="s">
        <v>134</v>
      </c>
      <c r="N34" s="40" t="s">
        <v>117</v>
      </c>
      <c r="O34" s="17" t="s">
        <v>118</v>
      </c>
      <c r="P34" s="17" t="s">
        <v>120</v>
      </c>
      <c r="Q34" s="17" t="s">
        <v>121</v>
      </c>
      <c r="R34" s="1"/>
    </row>
    <row r="35" spans="1:18" ht="25.5">
      <c r="A35" s="17" t="s">
        <v>261</v>
      </c>
      <c r="B35" s="17">
        <f t="shared" si="0"/>
        <v>34</v>
      </c>
      <c r="C35" s="17" t="s">
        <v>263</v>
      </c>
      <c r="D35" s="17" t="s">
        <v>95</v>
      </c>
      <c r="E35" s="16" t="s">
        <v>438</v>
      </c>
      <c r="F35" s="16" t="s">
        <v>439</v>
      </c>
      <c r="G35" s="17" t="s">
        <v>21</v>
      </c>
      <c r="H35" s="17" t="s">
        <v>16</v>
      </c>
      <c r="I35" s="6" t="s">
        <v>50</v>
      </c>
      <c r="J35" s="16" t="s">
        <v>19</v>
      </c>
      <c r="K35" s="17" t="s">
        <v>18</v>
      </c>
      <c r="L35" s="17" t="s">
        <v>18</v>
      </c>
      <c r="M35" s="17" t="s">
        <v>134</v>
      </c>
      <c r="N35" s="40" t="s">
        <v>117</v>
      </c>
      <c r="O35" s="17" t="s">
        <v>118</v>
      </c>
      <c r="P35" s="17" t="s">
        <v>120</v>
      </c>
      <c r="Q35" s="17" t="s">
        <v>121</v>
      </c>
      <c r="R35" s="1"/>
    </row>
    <row r="36" spans="1:18" ht="25.5">
      <c r="A36" s="17" t="s">
        <v>302</v>
      </c>
      <c r="B36" s="17">
        <f t="shared" ref="B36:B67" si="1">ROW()-1</f>
        <v>35</v>
      </c>
      <c r="C36" s="17" t="s">
        <v>305</v>
      </c>
      <c r="D36" s="17" t="s">
        <v>95</v>
      </c>
      <c r="E36" s="16" t="s">
        <v>440</v>
      </c>
      <c r="F36" s="16" t="s">
        <v>306</v>
      </c>
      <c r="G36" s="17" t="s">
        <v>21</v>
      </c>
      <c r="H36" s="17" t="s">
        <v>16</v>
      </c>
      <c r="I36" s="6" t="s">
        <v>50</v>
      </c>
      <c r="J36" s="16" t="s">
        <v>307</v>
      </c>
      <c r="K36" s="17" t="s">
        <v>18</v>
      </c>
      <c r="L36" s="17" t="s">
        <v>18</v>
      </c>
      <c r="M36" s="17" t="s">
        <v>134</v>
      </c>
      <c r="N36" s="40" t="s">
        <v>117</v>
      </c>
      <c r="O36" s="17" t="s">
        <v>118</v>
      </c>
      <c r="P36" s="17" t="s">
        <v>120</v>
      </c>
      <c r="Q36" s="17" t="s">
        <v>121</v>
      </c>
      <c r="R36" s="1"/>
    </row>
    <row r="37" spans="1:18" ht="25.5">
      <c r="A37" s="17" t="s">
        <v>303</v>
      </c>
      <c r="B37" s="17">
        <f t="shared" si="1"/>
        <v>36</v>
      </c>
      <c r="C37" s="17" t="s">
        <v>311</v>
      </c>
      <c r="D37" s="17" t="s">
        <v>95</v>
      </c>
      <c r="E37" s="16" t="s">
        <v>385</v>
      </c>
      <c r="F37" s="16" t="s">
        <v>308</v>
      </c>
      <c r="G37" s="17" t="s">
        <v>21</v>
      </c>
      <c r="H37" s="17" t="s">
        <v>16</v>
      </c>
      <c r="I37" s="6" t="s">
        <v>50</v>
      </c>
      <c r="J37" s="16" t="s">
        <v>18</v>
      </c>
      <c r="K37" s="17" t="s">
        <v>18</v>
      </c>
      <c r="L37" s="17" t="s">
        <v>309</v>
      </c>
      <c r="M37" s="17" t="s">
        <v>134</v>
      </c>
      <c r="N37" s="40" t="s">
        <v>117</v>
      </c>
      <c r="O37" s="17" t="s">
        <v>118</v>
      </c>
      <c r="P37" s="17" t="s">
        <v>120</v>
      </c>
      <c r="Q37" s="17" t="s">
        <v>121</v>
      </c>
      <c r="R37" s="1"/>
    </row>
    <row r="38" spans="1:18" ht="25.5">
      <c r="A38" s="17" t="s">
        <v>304</v>
      </c>
      <c r="B38" s="17">
        <f t="shared" si="1"/>
        <v>37</v>
      </c>
      <c r="C38" s="17" t="s">
        <v>310</v>
      </c>
      <c r="D38" s="17" t="s">
        <v>95</v>
      </c>
      <c r="E38" s="16" t="s">
        <v>386</v>
      </c>
      <c r="F38" s="16" t="s">
        <v>312</v>
      </c>
      <c r="G38" s="17" t="s">
        <v>21</v>
      </c>
      <c r="H38" s="17" t="s">
        <v>16</v>
      </c>
      <c r="I38" s="6" t="s">
        <v>50</v>
      </c>
      <c r="J38" s="16" t="s">
        <v>19</v>
      </c>
      <c r="K38" s="17" t="s">
        <v>18</v>
      </c>
      <c r="L38" s="17" t="s">
        <v>18</v>
      </c>
      <c r="M38" s="17" t="s">
        <v>134</v>
      </c>
      <c r="N38" s="40" t="s">
        <v>117</v>
      </c>
      <c r="O38" s="17" t="s">
        <v>118</v>
      </c>
      <c r="P38" s="17" t="s">
        <v>120</v>
      </c>
      <c r="Q38" s="17" t="s">
        <v>121</v>
      </c>
      <c r="R38" s="1"/>
    </row>
    <row r="39" spans="1:18" ht="25.5">
      <c r="A39" s="17" t="s">
        <v>7</v>
      </c>
      <c r="B39" s="17">
        <f t="shared" si="1"/>
        <v>38</v>
      </c>
      <c r="C39" s="17" t="s">
        <v>4</v>
      </c>
      <c r="D39" s="17" t="s">
        <v>95</v>
      </c>
      <c r="E39" s="16" t="s">
        <v>441</v>
      </c>
      <c r="F39" s="16" t="s">
        <v>448</v>
      </c>
      <c r="G39" s="17" t="s">
        <v>21</v>
      </c>
      <c r="H39" s="17" t="s">
        <v>16</v>
      </c>
      <c r="I39" s="6" t="s">
        <v>50</v>
      </c>
      <c r="J39" s="16" t="s">
        <v>19</v>
      </c>
      <c r="K39" s="17" t="s">
        <v>18</v>
      </c>
      <c r="L39" s="17" t="s">
        <v>18</v>
      </c>
      <c r="M39" s="17" t="s">
        <v>134</v>
      </c>
      <c r="N39" s="40" t="s">
        <v>117</v>
      </c>
      <c r="O39" s="17" t="s">
        <v>118</v>
      </c>
      <c r="P39" s="17" t="s">
        <v>120</v>
      </c>
      <c r="Q39" s="17" t="s">
        <v>121</v>
      </c>
      <c r="R39" s="1"/>
    </row>
    <row r="40" spans="1:18" ht="25.5">
      <c r="A40" s="17" t="s">
        <v>8</v>
      </c>
      <c r="B40" s="17">
        <f t="shared" si="1"/>
        <v>39</v>
      </c>
      <c r="C40" s="17" t="s">
        <v>5</v>
      </c>
      <c r="D40" s="17" t="s">
        <v>95</v>
      </c>
      <c r="E40" s="16" t="s">
        <v>446</v>
      </c>
      <c r="F40" s="16" t="s">
        <v>447</v>
      </c>
      <c r="G40" s="17" t="s">
        <v>21</v>
      </c>
      <c r="H40" s="17" t="s">
        <v>16</v>
      </c>
      <c r="I40" s="6" t="s">
        <v>50</v>
      </c>
      <c r="J40" s="16" t="s">
        <v>249</v>
      </c>
      <c r="K40" s="17" t="s">
        <v>18</v>
      </c>
      <c r="L40" s="17" t="s">
        <v>18</v>
      </c>
      <c r="M40" s="17" t="s">
        <v>134</v>
      </c>
      <c r="N40" s="40" t="s">
        <v>117</v>
      </c>
      <c r="O40" s="17" t="s">
        <v>118</v>
      </c>
      <c r="P40" s="17" t="s">
        <v>120</v>
      </c>
      <c r="Q40" s="17" t="s">
        <v>121</v>
      </c>
      <c r="R40" s="1"/>
    </row>
    <row r="41" spans="1:18" ht="25.5">
      <c r="A41" s="17" t="s">
        <v>81</v>
      </c>
      <c r="B41" s="17">
        <f t="shared" si="1"/>
        <v>40</v>
      </c>
      <c r="C41" s="17" t="s">
        <v>0</v>
      </c>
      <c r="D41" s="17" t="s">
        <v>95</v>
      </c>
      <c r="E41" s="16" t="s">
        <v>445</v>
      </c>
      <c r="F41" s="16" t="s">
        <v>105</v>
      </c>
      <c r="G41" s="17" t="s">
        <v>21</v>
      </c>
      <c r="H41" s="17" t="s">
        <v>16</v>
      </c>
      <c r="I41" s="6" t="s">
        <v>63</v>
      </c>
      <c r="J41" s="16" t="s">
        <v>18</v>
      </c>
      <c r="K41" s="17" t="s">
        <v>18</v>
      </c>
      <c r="L41" s="17" t="s">
        <v>18</v>
      </c>
      <c r="M41" s="17" t="s">
        <v>134</v>
      </c>
      <c r="N41" s="40" t="s">
        <v>117</v>
      </c>
      <c r="O41" s="17" t="s">
        <v>118</v>
      </c>
      <c r="P41" s="17" t="s">
        <v>120</v>
      </c>
      <c r="Q41" s="17" t="s">
        <v>121</v>
      </c>
      <c r="R41" s="1"/>
    </row>
    <row r="42" spans="1:18" ht="25.5">
      <c r="A42" s="17" t="s">
        <v>9</v>
      </c>
      <c r="B42" s="17">
        <f t="shared" si="1"/>
        <v>41</v>
      </c>
      <c r="C42" s="17" t="s">
        <v>6</v>
      </c>
      <c r="D42" s="17" t="s">
        <v>95</v>
      </c>
      <c r="E42" s="16" t="s">
        <v>106</v>
      </c>
      <c r="F42" s="16" t="s">
        <v>107</v>
      </c>
      <c r="G42" s="17" t="s">
        <v>21</v>
      </c>
      <c r="H42" s="17" t="s">
        <v>16</v>
      </c>
      <c r="I42" s="16" t="s">
        <v>64</v>
      </c>
      <c r="J42" s="16" t="s">
        <v>18</v>
      </c>
      <c r="K42" s="17" t="s">
        <v>18</v>
      </c>
      <c r="L42" s="17" t="s">
        <v>18</v>
      </c>
      <c r="M42" s="17" t="s">
        <v>134</v>
      </c>
      <c r="N42" s="40" t="s">
        <v>117</v>
      </c>
      <c r="O42" s="17" t="s">
        <v>118</v>
      </c>
      <c r="P42" s="17" t="s">
        <v>121</v>
      </c>
      <c r="Q42" s="17" t="s">
        <v>121</v>
      </c>
      <c r="R42" s="1"/>
    </row>
    <row r="43" spans="1:18" ht="25.5">
      <c r="A43" s="17" t="s">
        <v>82</v>
      </c>
      <c r="B43" s="17">
        <f t="shared" si="1"/>
        <v>42</v>
      </c>
      <c r="C43" s="17" t="s">
        <v>651</v>
      </c>
      <c r="D43" s="17" t="s">
        <v>95</v>
      </c>
      <c r="E43" s="16" t="s">
        <v>444</v>
      </c>
      <c r="F43" s="16" t="s">
        <v>650</v>
      </c>
      <c r="G43" s="17" t="s">
        <v>21</v>
      </c>
      <c r="H43" s="17" t="s">
        <v>16</v>
      </c>
      <c r="I43" s="6" t="s">
        <v>151</v>
      </c>
      <c r="J43" s="16" t="s">
        <v>18</v>
      </c>
      <c r="K43" s="17" t="s">
        <v>18</v>
      </c>
      <c r="L43" s="17" t="s">
        <v>18</v>
      </c>
      <c r="M43" s="17" t="s">
        <v>134</v>
      </c>
      <c r="N43" s="40" t="s">
        <v>117</v>
      </c>
      <c r="O43" s="17" t="s">
        <v>118</v>
      </c>
      <c r="P43" s="17" t="s">
        <v>127</v>
      </c>
      <c r="Q43" s="17" t="s">
        <v>121</v>
      </c>
      <c r="R43" s="1"/>
    </row>
    <row r="44" spans="1:18" ht="25.5">
      <c r="A44" s="46" t="s">
        <v>99</v>
      </c>
      <c r="B44" s="17">
        <f t="shared" si="1"/>
        <v>43</v>
      </c>
      <c r="C44" s="17" t="s">
        <v>100</v>
      </c>
      <c r="D44" s="17" t="s">
        <v>95</v>
      </c>
      <c r="E44" s="16" t="s">
        <v>443</v>
      </c>
      <c r="F44" s="16" t="s">
        <v>442</v>
      </c>
      <c r="G44" s="17" t="s">
        <v>101</v>
      </c>
      <c r="H44" s="17" t="s">
        <v>16</v>
      </c>
      <c r="I44" s="6" t="s">
        <v>50</v>
      </c>
      <c r="J44" s="16" t="s">
        <v>102</v>
      </c>
      <c r="K44" s="17" t="s">
        <v>18</v>
      </c>
      <c r="L44" s="17" t="s">
        <v>18</v>
      </c>
      <c r="M44" s="17" t="s">
        <v>134</v>
      </c>
      <c r="N44" s="40" t="s">
        <v>117</v>
      </c>
      <c r="O44" s="17" t="s">
        <v>118</v>
      </c>
      <c r="P44" s="17" t="s">
        <v>120</v>
      </c>
      <c r="Q44" s="17" t="s">
        <v>121</v>
      </c>
      <c r="R44" s="1"/>
    </row>
    <row r="45" spans="1:18" ht="25.5">
      <c r="A45" s="46" t="s">
        <v>136</v>
      </c>
      <c r="B45" s="17">
        <f t="shared" si="1"/>
        <v>44</v>
      </c>
      <c r="C45" s="17" t="s">
        <v>137</v>
      </c>
      <c r="D45" s="17" t="s">
        <v>95</v>
      </c>
      <c r="E45" s="16" t="s">
        <v>387</v>
      </c>
      <c r="F45" s="16" t="s">
        <v>138</v>
      </c>
      <c r="G45" s="17" t="s">
        <v>101</v>
      </c>
      <c r="H45" s="17" t="s">
        <v>16</v>
      </c>
      <c r="I45" s="6" t="s">
        <v>62</v>
      </c>
      <c r="J45" s="16" t="s">
        <v>18</v>
      </c>
      <c r="K45" s="17" t="s">
        <v>18</v>
      </c>
      <c r="L45" s="17" t="s">
        <v>18</v>
      </c>
      <c r="M45" s="17" t="s">
        <v>117</v>
      </c>
      <c r="N45" s="40" t="s">
        <v>117</v>
      </c>
      <c r="O45" s="17" t="s">
        <v>139</v>
      </c>
      <c r="P45" s="17" t="s">
        <v>140</v>
      </c>
      <c r="Q45" s="17" t="s">
        <v>121</v>
      </c>
      <c r="R45" s="1"/>
    </row>
    <row r="46" spans="1:18" ht="25.5">
      <c r="A46" s="45" t="s">
        <v>250</v>
      </c>
      <c r="B46" s="17">
        <f t="shared" si="1"/>
        <v>45</v>
      </c>
      <c r="C46" s="18" t="s">
        <v>251</v>
      </c>
      <c r="D46" s="18" t="s">
        <v>95</v>
      </c>
      <c r="E46" s="15" t="s">
        <v>388</v>
      </c>
      <c r="F46" s="15" t="s">
        <v>252</v>
      </c>
      <c r="G46" s="18" t="s">
        <v>101</v>
      </c>
      <c r="H46" s="18" t="s">
        <v>16</v>
      </c>
      <c r="I46" s="19" t="s">
        <v>50</v>
      </c>
      <c r="J46" s="15" t="s">
        <v>253</v>
      </c>
      <c r="K46" s="18" t="s">
        <v>18</v>
      </c>
      <c r="L46" s="18" t="s">
        <v>18</v>
      </c>
      <c r="M46" s="18" t="s">
        <v>134</v>
      </c>
      <c r="N46" s="48" t="s">
        <v>117</v>
      </c>
      <c r="O46" s="18" t="s">
        <v>118</v>
      </c>
      <c r="P46" s="18" t="s">
        <v>120</v>
      </c>
      <c r="Q46" s="18" t="s">
        <v>121</v>
      </c>
      <c r="R46" s="1"/>
    </row>
    <row r="47" spans="1:18" ht="25.5">
      <c r="A47" s="45" t="s">
        <v>275</v>
      </c>
      <c r="B47" s="17">
        <f t="shared" si="1"/>
        <v>46</v>
      </c>
      <c r="C47" s="18" t="s">
        <v>277</v>
      </c>
      <c r="D47" s="18" t="s">
        <v>95</v>
      </c>
      <c r="E47" s="16" t="s">
        <v>389</v>
      </c>
      <c r="F47" s="15" t="s">
        <v>278</v>
      </c>
      <c r="G47" s="18" t="s">
        <v>101</v>
      </c>
      <c r="H47" s="18" t="s">
        <v>16</v>
      </c>
      <c r="I47" s="19" t="s">
        <v>50</v>
      </c>
      <c r="J47" s="15" t="s">
        <v>253</v>
      </c>
      <c r="K47" s="18" t="s">
        <v>18</v>
      </c>
      <c r="L47" s="18" t="s">
        <v>18</v>
      </c>
      <c r="M47" s="18" t="s">
        <v>134</v>
      </c>
      <c r="N47" s="48" t="s">
        <v>117</v>
      </c>
      <c r="O47" s="18" t="s">
        <v>118</v>
      </c>
      <c r="P47" s="18" t="s">
        <v>120</v>
      </c>
      <c r="Q47" s="18" t="s">
        <v>121</v>
      </c>
      <c r="R47" s="1"/>
    </row>
    <row r="48" spans="1:18" ht="25.5">
      <c r="A48" s="45" t="s">
        <v>152</v>
      </c>
      <c r="B48" s="17">
        <f t="shared" si="1"/>
        <v>47</v>
      </c>
      <c r="C48" s="17" t="s">
        <v>258</v>
      </c>
      <c r="D48" s="18" t="s">
        <v>95</v>
      </c>
      <c r="E48" s="16" t="s">
        <v>725</v>
      </c>
      <c r="F48" s="16" t="s">
        <v>726</v>
      </c>
      <c r="G48" s="18" t="s">
        <v>48</v>
      </c>
      <c r="H48" s="18" t="s">
        <v>154</v>
      </c>
      <c r="I48" s="19" t="s">
        <v>18</v>
      </c>
      <c r="J48" s="16" t="s">
        <v>259</v>
      </c>
      <c r="K48" s="18" t="s">
        <v>18</v>
      </c>
      <c r="L48" s="18" t="s">
        <v>165</v>
      </c>
      <c r="M48" s="18" t="s">
        <v>18</v>
      </c>
      <c r="N48" s="48" t="s">
        <v>18</v>
      </c>
      <c r="O48" s="18" t="s">
        <v>153</v>
      </c>
      <c r="P48" s="18" t="s">
        <v>18</v>
      </c>
      <c r="Q48" s="18" t="s">
        <v>121</v>
      </c>
      <c r="R48" s="1"/>
    </row>
    <row r="49" spans="1:18" ht="76.5">
      <c r="A49" s="17" t="s">
        <v>273</v>
      </c>
      <c r="B49" s="17">
        <f t="shared" si="1"/>
        <v>48</v>
      </c>
      <c r="C49" s="17" t="s">
        <v>276</v>
      </c>
      <c r="D49" s="17" t="s">
        <v>95</v>
      </c>
      <c r="E49" s="16" t="s">
        <v>643</v>
      </c>
      <c r="F49" s="16" t="s">
        <v>390</v>
      </c>
      <c r="G49" s="18" t="s">
        <v>101</v>
      </c>
      <c r="H49" s="18" t="s">
        <v>16</v>
      </c>
      <c r="I49" s="19" t="s">
        <v>50</v>
      </c>
      <c r="J49" s="16" t="s">
        <v>274</v>
      </c>
      <c r="K49" s="17" t="s">
        <v>18</v>
      </c>
      <c r="L49" s="17" t="s">
        <v>18</v>
      </c>
      <c r="M49" s="18" t="s">
        <v>134</v>
      </c>
      <c r="N49" s="40" t="s">
        <v>117</v>
      </c>
      <c r="O49" s="17" t="s">
        <v>118</v>
      </c>
      <c r="P49" s="17" t="s">
        <v>120</v>
      </c>
      <c r="Q49" s="17" t="s">
        <v>121</v>
      </c>
      <c r="R49" s="1"/>
    </row>
    <row r="50" spans="1:18" ht="25.5">
      <c r="A50" s="17" t="s">
        <v>279</v>
      </c>
      <c r="B50" s="17">
        <f t="shared" si="1"/>
        <v>49</v>
      </c>
      <c r="C50" s="17" t="s">
        <v>280</v>
      </c>
      <c r="D50" s="17" t="s">
        <v>95</v>
      </c>
      <c r="E50" s="16" t="s">
        <v>644</v>
      </c>
      <c r="F50" s="16" t="s">
        <v>281</v>
      </c>
      <c r="G50" s="17" t="s">
        <v>21</v>
      </c>
      <c r="H50" s="17" t="s">
        <v>16</v>
      </c>
      <c r="I50" s="6" t="s">
        <v>66</v>
      </c>
      <c r="J50" s="16" t="s">
        <v>163</v>
      </c>
      <c r="K50" s="17" t="s">
        <v>18</v>
      </c>
      <c r="L50" s="17" t="s">
        <v>18</v>
      </c>
      <c r="M50" s="17" t="s">
        <v>134</v>
      </c>
      <c r="N50" s="40" t="s">
        <v>117</v>
      </c>
      <c r="O50" s="17" t="s">
        <v>118</v>
      </c>
      <c r="P50" s="17" t="s">
        <v>120</v>
      </c>
      <c r="Q50" s="17" t="s">
        <v>121</v>
      </c>
      <c r="R50" s="1"/>
    </row>
    <row r="51" spans="1:18" ht="114.75">
      <c r="A51" s="47" t="s">
        <v>370</v>
      </c>
      <c r="B51" s="17">
        <f t="shared" si="1"/>
        <v>50</v>
      </c>
      <c r="C51" s="31" t="s">
        <v>656</v>
      </c>
      <c r="D51" s="31" t="s">
        <v>95</v>
      </c>
      <c r="E51" s="32" t="s">
        <v>449</v>
      </c>
      <c r="F51" s="32" t="s">
        <v>660</v>
      </c>
      <c r="G51" s="31" t="s">
        <v>101</v>
      </c>
      <c r="H51" s="31"/>
      <c r="I51" s="19" t="s">
        <v>18</v>
      </c>
      <c r="J51" s="32" t="s">
        <v>371</v>
      </c>
      <c r="K51" s="17" t="s">
        <v>18</v>
      </c>
      <c r="L51" s="17" t="s">
        <v>18</v>
      </c>
      <c r="M51" s="31"/>
      <c r="N51" s="48" t="s">
        <v>18</v>
      </c>
      <c r="O51" s="18" t="s">
        <v>153</v>
      </c>
      <c r="P51" s="18" t="s">
        <v>18</v>
      </c>
      <c r="Q51" s="18" t="s">
        <v>121</v>
      </c>
      <c r="R51" s="1"/>
    </row>
    <row r="52" spans="1:18" ht="89.25">
      <c r="A52" s="17" t="s">
        <v>661</v>
      </c>
      <c r="B52" s="17">
        <f t="shared" si="1"/>
        <v>51</v>
      </c>
      <c r="C52" s="31" t="s">
        <v>714</v>
      </c>
      <c r="D52" s="31" t="s">
        <v>95</v>
      </c>
      <c r="E52" s="32" t="s">
        <v>666</v>
      </c>
      <c r="F52" s="32" t="s">
        <v>664</v>
      </c>
      <c r="G52" s="31" t="s">
        <v>101</v>
      </c>
      <c r="H52" s="36"/>
      <c r="I52" s="19"/>
      <c r="J52" s="37"/>
      <c r="K52" s="36"/>
      <c r="L52" s="36"/>
      <c r="M52" s="36"/>
      <c r="N52" s="49"/>
      <c r="O52" s="36"/>
      <c r="P52" s="36"/>
      <c r="Q52" s="18" t="s">
        <v>121</v>
      </c>
      <c r="R52" s="1"/>
    </row>
    <row r="53" spans="1:18" ht="76.5">
      <c r="A53" s="47" t="s">
        <v>662</v>
      </c>
      <c r="B53" s="17">
        <f t="shared" si="1"/>
        <v>52</v>
      </c>
      <c r="C53" s="31" t="s">
        <v>714</v>
      </c>
      <c r="D53" s="31" t="s">
        <v>95</v>
      </c>
      <c r="E53" s="32" t="s">
        <v>663</v>
      </c>
      <c r="F53" s="32" t="s">
        <v>665</v>
      </c>
      <c r="G53" s="31" t="s">
        <v>101</v>
      </c>
      <c r="H53" s="36"/>
      <c r="I53" s="19"/>
      <c r="J53" s="37"/>
      <c r="K53" s="36"/>
      <c r="L53" s="36"/>
      <c r="M53" s="36"/>
      <c r="N53" s="49"/>
      <c r="O53" s="36"/>
      <c r="P53" s="36"/>
      <c r="Q53" s="18" t="s">
        <v>121</v>
      </c>
      <c r="R53" s="1"/>
    </row>
    <row r="54" spans="1:18" ht="25.5">
      <c r="A54" s="50" t="s">
        <v>789</v>
      </c>
      <c r="B54" s="39">
        <f t="shared" si="1"/>
        <v>53</v>
      </c>
      <c r="C54" s="39" t="s">
        <v>794</v>
      </c>
      <c r="D54" s="39" t="s">
        <v>95</v>
      </c>
      <c r="E54" s="51" t="s">
        <v>790</v>
      </c>
      <c r="F54" s="51" t="s">
        <v>791</v>
      </c>
      <c r="G54" s="39" t="s">
        <v>101</v>
      </c>
      <c r="H54" s="31" t="s">
        <v>16</v>
      </c>
      <c r="I54" s="52" t="s">
        <v>72</v>
      </c>
      <c r="J54" s="32" t="s">
        <v>18</v>
      </c>
      <c r="K54" s="31"/>
      <c r="L54" s="31" t="s">
        <v>18</v>
      </c>
      <c r="M54" s="31" t="s">
        <v>134</v>
      </c>
      <c r="N54" s="53" t="s">
        <v>117</v>
      </c>
      <c r="O54" s="31" t="s">
        <v>118</v>
      </c>
      <c r="P54" s="31" t="s">
        <v>126</v>
      </c>
      <c r="Q54" s="31" t="s">
        <v>121</v>
      </c>
      <c r="R54" s="1"/>
    </row>
    <row r="55" spans="1:18" ht="25.5">
      <c r="A55" s="50" t="s">
        <v>792</v>
      </c>
      <c r="B55" s="39">
        <f t="shared" si="1"/>
        <v>54</v>
      </c>
      <c r="C55" s="39" t="s">
        <v>793</v>
      </c>
      <c r="D55" s="39" t="s">
        <v>95</v>
      </c>
      <c r="E55" s="51" t="s">
        <v>795</v>
      </c>
      <c r="F55" s="51" t="s">
        <v>796</v>
      </c>
      <c r="G55" s="39" t="s">
        <v>101</v>
      </c>
      <c r="H55" s="31" t="s">
        <v>16</v>
      </c>
      <c r="I55" s="52" t="s">
        <v>72</v>
      </c>
      <c r="J55" s="32" t="s">
        <v>18</v>
      </c>
      <c r="K55" s="31"/>
      <c r="L55" s="31" t="s">
        <v>18</v>
      </c>
      <c r="M55" s="31" t="s">
        <v>134</v>
      </c>
      <c r="N55" s="53" t="s">
        <v>117</v>
      </c>
      <c r="O55" s="31" t="s">
        <v>118</v>
      </c>
      <c r="P55" s="31" t="s">
        <v>126</v>
      </c>
      <c r="Q55" s="31" t="s">
        <v>121</v>
      </c>
      <c r="R55" s="1"/>
    </row>
    <row r="56" spans="1:18">
      <c r="A56" s="50" t="s">
        <v>801</v>
      </c>
      <c r="B56" s="39">
        <f t="shared" si="1"/>
        <v>55</v>
      </c>
      <c r="C56" s="39" t="s">
        <v>806</v>
      </c>
      <c r="D56" s="39" t="s">
        <v>95</v>
      </c>
      <c r="E56" s="51" t="s">
        <v>804</v>
      </c>
      <c r="F56" s="51" t="s">
        <v>809</v>
      </c>
      <c r="G56" s="39" t="s">
        <v>101</v>
      </c>
      <c r="H56" s="31"/>
      <c r="I56" s="52"/>
      <c r="J56" s="32" t="s">
        <v>18</v>
      </c>
      <c r="K56" s="31"/>
      <c r="L56" s="31" t="s">
        <v>18</v>
      </c>
      <c r="M56" s="31"/>
      <c r="N56" s="53"/>
      <c r="O56" s="31"/>
      <c r="P56" s="31"/>
      <c r="Q56" s="31" t="s">
        <v>121</v>
      </c>
      <c r="R56" s="1"/>
    </row>
    <row r="57" spans="1:18">
      <c r="A57" s="50" t="s">
        <v>802</v>
      </c>
      <c r="B57" s="39">
        <f t="shared" si="1"/>
        <v>56</v>
      </c>
      <c r="C57" s="39" t="s">
        <v>807</v>
      </c>
      <c r="D57" s="39" t="s">
        <v>95</v>
      </c>
      <c r="E57" s="51" t="s">
        <v>805</v>
      </c>
      <c r="F57" s="51" t="s">
        <v>808</v>
      </c>
      <c r="G57" s="39" t="s">
        <v>101</v>
      </c>
      <c r="H57" s="31"/>
      <c r="I57" s="52"/>
      <c r="J57" s="32" t="s">
        <v>18</v>
      </c>
      <c r="K57" s="31"/>
      <c r="L57" s="31" t="s">
        <v>18</v>
      </c>
      <c r="M57" s="31"/>
      <c r="N57" s="53"/>
      <c r="O57" s="31"/>
      <c r="P57" s="31"/>
      <c r="Q57" s="31" t="s">
        <v>121</v>
      </c>
      <c r="R57" s="1"/>
    </row>
    <row r="58" spans="1:18">
      <c r="A58" s="50" t="s">
        <v>803</v>
      </c>
      <c r="B58" s="39">
        <f t="shared" si="1"/>
        <v>57</v>
      </c>
      <c r="C58" s="39" t="s">
        <v>815</v>
      </c>
      <c r="D58" s="39" t="s">
        <v>95</v>
      </c>
      <c r="E58" s="51" t="s">
        <v>820</v>
      </c>
      <c r="F58" s="51" t="s">
        <v>822</v>
      </c>
      <c r="G58" s="39" t="s">
        <v>101</v>
      </c>
      <c r="H58" s="31"/>
      <c r="I58" s="52"/>
      <c r="J58" s="32" t="s">
        <v>18</v>
      </c>
      <c r="K58" s="31"/>
      <c r="L58" s="31" t="s">
        <v>18</v>
      </c>
      <c r="M58" s="31"/>
      <c r="N58" s="53"/>
      <c r="O58" s="31"/>
      <c r="P58" s="31"/>
      <c r="Q58" s="31" t="s">
        <v>121</v>
      </c>
      <c r="R58" s="1"/>
    </row>
    <row r="59" spans="1:18">
      <c r="A59" s="50" t="s">
        <v>810</v>
      </c>
      <c r="B59" s="39">
        <f t="shared" si="1"/>
        <v>58</v>
      </c>
      <c r="C59" s="39" t="s">
        <v>823</v>
      </c>
      <c r="D59" s="39" t="s">
        <v>95</v>
      </c>
      <c r="E59" s="51" t="s">
        <v>821</v>
      </c>
      <c r="F59" s="16" t="s">
        <v>817</v>
      </c>
      <c r="G59" s="39" t="s">
        <v>101</v>
      </c>
      <c r="H59" s="31"/>
      <c r="I59" s="52"/>
      <c r="J59" s="32" t="s">
        <v>18</v>
      </c>
      <c r="K59" s="31"/>
      <c r="L59" s="31" t="s">
        <v>18</v>
      </c>
      <c r="M59" s="31"/>
      <c r="N59" s="53"/>
      <c r="O59" s="31"/>
      <c r="P59" s="31"/>
      <c r="Q59" s="31" t="s">
        <v>121</v>
      </c>
      <c r="R59" s="1"/>
    </row>
    <row r="60" spans="1:18">
      <c r="A60" s="50" t="s">
        <v>825</v>
      </c>
      <c r="B60" s="17">
        <f t="shared" si="1"/>
        <v>59</v>
      </c>
      <c r="C60" s="17" t="s">
        <v>826</v>
      </c>
      <c r="D60" s="17" t="s">
        <v>95</v>
      </c>
      <c r="E60" s="16" t="s">
        <v>827</v>
      </c>
      <c r="F60" s="16" t="s">
        <v>855</v>
      </c>
      <c r="G60" s="31" t="s">
        <v>101</v>
      </c>
      <c r="H60" s="39"/>
      <c r="I60" s="52"/>
      <c r="J60" s="16" t="s">
        <v>18</v>
      </c>
      <c r="K60" s="31"/>
      <c r="L60" s="17" t="s">
        <v>18</v>
      </c>
      <c r="M60" s="31"/>
      <c r="N60" s="53"/>
      <c r="O60" s="31"/>
      <c r="P60" s="31"/>
      <c r="Q60" s="17" t="s">
        <v>121</v>
      </c>
      <c r="R60" s="1"/>
    </row>
    <row r="61" spans="1:18">
      <c r="A61" s="50" t="s">
        <v>828</v>
      </c>
      <c r="B61" s="17">
        <f t="shared" si="1"/>
        <v>60</v>
      </c>
      <c r="C61" s="17" t="s">
        <v>829</v>
      </c>
      <c r="D61" s="17" t="s">
        <v>95</v>
      </c>
      <c r="E61" s="16" t="s">
        <v>830</v>
      </c>
      <c r="F61" s="16" t="s">
        <v>856</v>
      </c>
      <c r="G61" s="31" t="s">
        <v>101</v>
      </c>
      <c r="H61" s="39"/>
      <c r="I61" s="52"/>
      <c r="J61" s="16" t="s">
        <v>18</v>
      </c>
      <c r="K61" s="31"/>
      <c r="L61" s="17" t="s">
        <v>18</v>
      </c>
      <c r="M61" s="31"/>
      <c r="N61" s="53"/>
      <c r="O61" s="31"/>
      <c r="P61" s="31"/>
      <c r="Q61" s="17" t="s">
        <v>121</v>
      </c>
      <c r="R61" s="1"/>
    </row>
    <row r="62" spans="1:18">
      <c r="A62" s="50" t="s">
        <v>831</v>
      </c>
      <c r="B62" s="17">
        <f t="shared" si="1"/>
        <v>61</v>
      </c>
      <c r="C62" s="17" t="s">
        <v>832</v>
      </c>
      <c r="D62" s="17" t="s">
        <v>95</v>
      </c>
      <c r="E62" s="16" t="s">
        <v>833</v>
      </c>
      <c r="F62" s="16" t="s">
        <v>857</v>
      </c>
      <c r="G62" s="31" t="s">
        <v>101</v>
      </c>
      <c r="H62" s="39"/>
      <c r="I62" s="52"/>
      <c r="J62" s="16" t="s">
        <v>18</v>
      </c>
      <c r="K62" s="31"/>
      <c r="L62" s="17" t="s">
        <v>18</v>
      </c>
      <c r="M62" s="31"/>
      <c r="N62" s="53"/>
      <c r="O62" s="31"/>
      <c r="P62" s="31"/>
      <c r="Q62" s="17" t="s">
        <v>121</v>
      </c>
      <c r="R62" s="1"/>
    </row>
    <row r="63" spans="1:18">
      <c r="A63" s="50" t="s">
        <v>834</v>
      </c>
      <c r="B63" s="17">
        <f t="shared" si="1"/>
        <v>62</v>
      </c>
      <c r="C63" s="17" t="s">
        <v>835</v>
      </c>
      <c r="D63" s="17" t="s">
        <v>95</v>
      </c>
      <c r="E63" s="16" t="s">
        <v>836</v>
      </c>
      <c r="F63" s="16" t="s">
        <v>858</v>
      </c>
      <c r="G63" s="31" t="s">
        <v>101</v>
      </c>
      <c r="H63" s="39"/>
      <c r="I63" s="52"/>
      <c r="J63" s="16" t="s">
        <v>18</v>
      </c>
      <c r="K63" s="31"/>
      <c r="L63" s="17" t="s">
        <v>18</v>
      </c>
      <c r="M63" s="31"/>
      <c r="N63" s="53"/>
      <c r="O63" s="31"/>
      <c r="P63" s="31"/>
      <c r="Q63" s="17" t="s">
        <v>121</v>
      </c>
      <c r="R63" s="1"/>
    </row>
    <row r="64" spans="1:18">
      <c r="A64" s="50" t="s">
        <v>838</v>
      </c>
      <c r="B64" s="17">
        <f t="shared" si="1"/>
        <v>63</v>
      </c>
      <c r="C64" s="17" t="s">
        <v>839</v>
      </c>
      <c r="D64" s="17" t="s">
        <v>95</v>
      </c>
      <c r="E64" s="16" t="s">
        <v>840</v>
      </c>
      <c r="F64" s="16" t="s">
        <v>859</v>
      </c>
      <c r="G64" s="31" t="s">
        <v>101</v>
      </c>
      <c r="H64" s="39"/>
      <c r="I64" s="52"/>
      <c r="J64" s="16" t="s">
        <v>18</v>
      </c>
      <c r="K64" s="31"/>
      <c r="L64" s="17" t="s">
        <v>18</v>
      </c>
      <c r="M64" s="31"/>
      <c r="N64" s="53"/>
      <c r="O64" s="31"/>
      <c r="P64" s="31"/>
      <c r="Q64" s="17" t="s">
        <v>121</v>
      </c>
      <c r="R64" s="1"/>
    </row>
    <row r="65" spans="1:18">
      <c r="A65" s="50" t="s">
        <v>841</v>
      </c>
      <c r="B65" s="17">
        <f t="shared" si="1"/>
        <v>64</v>
      </c>
      <c r="C65" s="17" t="s">
        <v>842</v>
      </c>
      <c r="D65" s="17" t="s">
        <v>95</v>
      </c>
      <c r="E65" s="16" t="s">
        <v>843</v>
      </c>
      <c r="F65" s="16" t="s">
        <v>844</v>
      </c>
      <c r="G65" s="31" t="s">
        <v>101</v>
      </c>
      <c r="H65" s="39"/>
      <c r="I65" s="52"/>
      <c r="J65" s="16" t="s">
        <v>18</v>
      </c>
      <c r="K65" s="31"/>
      <c r="L65" s="17" t="s">
        <v>18</v>
      </c>
      <c r="M65" s="31"/>
      <c r="N65" s="53"/>
      <c r="O65" s="31"/>
      <c r="P65" s="31"/>
      <c r="Q65" s="17" t="s">
        <v>121</v>
      </c>
      <c r="R65" s="1"/>
    </row>
    <row r="66" spans="1:18">
      <c r="A66" s="50" t="s">
        <v>845</v>
      </c>
      <c r="B66" s="17">
        <f t="shared" si="1"/>
        <v>65</v>
      </c>
      <c r="C66" s="17" t="s">
        <v>846</v>
      </c>
      <c r="D66" s="17" t="s">
        <v>95</v>
      </c>
      <c r="E66" s="16" t="s">
        <v>847</v>
      </c>
      <c r="F66" s="16" t="s">
        <v>860</v>
      </c>
      <c r="G66" s="31" t="s">
        <v>101</v>
      </c>
      <c r="H66" s="39"/>
      <c r="I66" s="52"/>
      <c r="J66" s="16" t="s">
        <v>18</v>
      </c>
      <c r="K66" s="31"/>
      <c r="L66" s="17" t="s">
        <v>18</v>
      </c>
      <c r="M66" s="31"/>
      <c r="N66" s="53"/>
      <c r="O66" s="31"/>
      <c r="P66" s="31"/>
      <c r="Q66" s="17" t="s">
        <v>121</v>
      </c>
      <c r="R66" s="1"/>
    </row>
    <row r="67" spans="1:18">
      <c r="A67" s="50" t="s">
        <v>848</v>
      </c>
      <c r="B67" s="17">
        <f t="shared" si="1"/>
        <v>66</v>
      </c>
      <c r="C67" s="17" t="s">
        <v>849</v>
      </c>
      <c r="D67" s="17" t="s">
        <v>95</v>
      </c>
      <c r="E67" s="16" t="s">
        <v>850</v>
      </c>
      <c r="F67" s="16" t="s">
        <v>837</v>
      </c>
      <c r="G67" s="31" t="s">
        <v>101</v>
      </c>
      <c r="H67" s="39"/>
      <c r="I67" s="52"/>
      <c r="J67" s="16" t="s">
        <v>18</v>
      </c>
      <c r="K67" s="31"/>
      <c r="L67" s="17" t="s">
        <v>18</v>
      </c>
      <c r="M67" s="31"/>
      <c r="N67" s="53"/>
      <c r="O67" s="31"/>
      <c r="P67" s="31"/>
      <c r="Q67" s="17" t="s">
        <v>121</v>
      </c>
      <c r="R67" s="1"/>
    </row>
    <row r="68" spans="1:18" ht="38.25">
      <c r="A68" s="50" t="s">
        <v>851</v>
      </c>
      <c r="B68" s="17">
        <f t="shared" ref="B68:B101" si="2">ROW()-1</f>
        <v>67</v>
      </c>
      <c r="C68" s="17" t="s">
        <v>852</v>
      </c>
      <c r="D68" s="17" t="s">
        <v>95</v>
      </c>
      <c r="E68" s="16" t="s">
        <v>853</v>
      </c>
      <c r="F68" s="16" t="s">
        <v>854</v>
      </c>
      <c r="G68" s="31" t="s">
        <v>101</v>
      </c>
      <c r="H68" s="39"/>
      <c r="I68" s="52"/>
      <c r="J68" s="16" t="s">
        <v>18</v>
      </c>
      <c r="K68" s="31"/>
      <c r="L68" s="17" t="s">
        <v>18</v>
      </c>
      <c r="M68" s="31"/>
      <c r="N68" s="53"/>
      <c r="O68" s="31"/>
      <c r="P68" s="31"/>
      <c r="Q68" s="17" t="s">
        <v>121</v>
      </c>
      <c r="R68" s="1"/>
    </row>
    <row r="69" spans="1:18">
      <c r="A69" s="46" t="s">
        <v>876</v>
      </c>
      <c r="B69" s="17">
        <f t="shared" si="2"/>
        <v>68</v>
      </c>
      <c r="C69" s="17" t="s">
        <v>878</v>
      </c>
      <c r="D69" s="17" t="s">
        <v>95</v>
      </c>
      <c r="E69" s="16" t="s">
        <v>879</v>
      </c>
      <c r="F69" s="16" t="s">
        <v>877</v>
      </c>
      <c r="G69" s="31" t="s">
        <v>101</v>
      </c>
      <c r="H69" s="39"/>
      <c r="I69" s="52"/>
      <c r="J69" s="16" t="s">
        <v>18</v>
      </c>
      <c r="K69" s="31"/>
      <c r="L69" s="17" t="s">
        <v>18</v>
      </c>
      <c r="M69" s="31"/>
      <c r="N69" s="53"/>
      <c r="O69" s="31"/>
      <c r="P69" s="31"/>
      <c r="Q69" s="17" t="s">
        <v>121</v>
      </c>
      <c r="R69" s="1"/>
    </row>
    <row r="70" spans="1:18" ht="25.5">
      <c r="A70" s="45" t="s">
        <v>175</v>
      </c>
      <c r="B70" s="17">
        <f t="shared" si="2"/>
        <v>69</v>
      </c>
      <c r="C70" s="18" t="s">
        <v>146</v>
      </c>
      <c r="D70" s="18" t="s">
        <v>95</v>
      </c>
      <c r="E70" s="16" t="s">
        <v>517</v>
      </c>
      <c r="F70" s="16" t="s">
        <v>516</v>
      </c>
      <c r="G70" s="17" t="s">
        <v>48</v>
      </c>
      <c r="H70" s="17" t="s">
        <v>16</v>
      </c>
      <c r="I70" s="6" t="s">
        <v>72</v>
      </c>
      <c r="J70" s="16" t="s">
        <v>156</v>
      </c>
      <c r="K70" s="17"/>
      <c r="L70" s="17" t="s">
        <v>18</v>
      </c>
      <c r="M70" s="17" t="s">
        <v>134</v>
      </c>
      <c r="N70" s="40" t="s">
        <v>117</v>
      </c>
      <c r="O70" s="17" t="s">
        <v>118</v>
      </c>
      <c r="P70" s="17" t="s">
        <v>127</v>
      </c>
      <c r="Q70" s="17" t="s">
        <v>121</v>
      </c>
      <c r="R70" s="1"/>
    </row>
    <row r="71" spans="1:18" ht="25.5">
      <c r="A71" s="46" t="s">
        <v>727</v>
      </c>
      <c r="B71" s="17">
        <f t="shared" si="2"/>
        <v>70</v>
      </c>
      <c r="C71" s="17" t="s">
        <v>728</v>
      </c>
      <c r="D71" s="18" t="s">
        <v>95</v>
      </c>
      <c r="E71" s="16" t="s">
        <v>732</v>
      </c>
      <c r="F71" s="16" t="s">
        <v>733</v>
      </c>
      <c r="G71" s="17" t="s">
        <v>48</v>
      </c>
      <c r="H71" s="17" t="s">
        <v>16</v>
      </c>
      <c r="I71" s="6" t="s">
        <v>73</v>
      </c>
      <c r="J71" s="16" t="s">
        <v>18</v>
      </c>
      <c r="K71" s="17"/>
      <c r="L71" s="17" t="s">
        <v>18</v>
      </c>
      <c r="M71" s="17" t="s">
        <v>134</v>
      </c>
      <c r="N71" s="40" t="s">
        <v>117</v>
      </c>
      <c r="O71" s="17" t="s">
        <v>118</v>
      </c>
      <c r="P71" s="17" t="s">
        <v>127</v>
      </c>
      <c r="Q71" s="17" t="s">
        <v>121</v>
      </c>
      <c r="R71" s="1"/>
    </row>
    <row r="72" spans="1:18" ht="25.5">
      <c r="A72" s="17" t="s">
        <v>176</v>
      </c>
      <c r="B72" s="17">
        <f t="shared" si="2"/>
        <v>71</v>
      </c>
      <c r="C72" s="17" t="s">
        <v>711</v>
      </c>
      <c r="D72" s="17" t="s">
        <v>95</v>
      </c>
      <c r="E72" s="16" t="s">
        <v>518</v>
      </c>
      <c r="F72" s="16" t="s">
        <v>519</v>
      </c>
      <c r="G72" s="17" t="s">
        <v>48</v>
      </c>
      <c r="H72" s="17" t="s">
        <v>16</v>
      </c>
      <c r="I72" s="6" t="s">
        <v>73</v>
      </c>
      <c r="J72" s="16" t="s">
        <v>157</v>
      </c>
      <c r="K72" s="17"/>
      <c r="L72" s="17" t="s">
        <v>150</v>
      </c>
      <c r="M72" s="17" t="s">
        <v>134</v>
      </c>
      <c r="N72" s="40" t="s">
        <v>117</v>
      </c>
      <c r="O72" s="17" t="s">
        <v>118</v>
      </c>
      <c r="P72" s="17" t="s">
        <v>127</v>
      </c>
      <c r="Q72" s="17" t="s">
        <v>121</v>
      </c>
      <c r="R72" s="1"/>
    </row>
    <row r="73" spans="1:18" ht="25.5">
      <c r="A73" s="17" t="s">
        <v>177</v>
      </c>
      <c r="B73" s="17">
        <f t="shared" si="2"/>
        <v>72</v>
      </c>
      <c r="C73" s="17" t="s">
        <v>713</v>
      </c>
      <c r="D73" s="17" t="s">
        <v>95</v>
      </c>
      <c r="E73" s="16" t="s">
        <v>427</v>
      </c>
      <c r="F73" s="16" t="s">
        <v>428</v>
      </c>
      <c r="G73" s="17" t="s">
        <v>48</v>
      </c>
      <c r="H73" s="17" t="s">
        <v>16</v>
      </c>
      <c r="I73" s="6" t="s">
        <v>73</v>
      </c>
      <c r="J73" s="16" t="s">
        <v>157</v>
      </c>
      <c r="K73" s="17"/>
      <c r="L73" s="17" t="s">
        <v>18</v>
      </c>
      <c r="M73" s="17" t="s">
        <v>134</v>
      </c>
      <c r="N73" s="40" t="s">
        <v>117</v>
      </c>
      <c r="O73" s="17" t="s">
        <v>118</v>
      </c>
      <c r="P73" s="17" t="s">
        <v>127</v>
      </c>
      <c r="Q73" s="17" t="s">
        <v>121</v>
      </c>
      <c r="R73" s="1"/>
    </row>
    <row r="74" spans="1:18" ht="25.5">
      <c r="A74" s="45" t="s">
        <v>178</v>
      </c>
      <c r="B74" s="17">
        <f t="shared" si="2"/>
        <v>73</v>
      </c>
      <c r="C74" s="17" t="s">
        <v>712</v>
      </c>
      <c r="D74" s="18" t="s">
        <v>95</v>
      </c>
      <c r="E74" s="16" t="s">
        <v>429</v>
      </c>
      <c r="F74" s="16" t="s">
        <v>266</v>
      </c>
      <c r="G74" s="17" t="s">
        <v>48</v>
      </c>
      <c r="H74" s="17" t="s">
        <v>16</v>
      </c>
      <c r="I74" s="6" t="s">
        <v>73</v>
      </c>
      <c r="J74" s="16" t="s">
        <v>157</v>
      </c>
      <c r="K74" s="17"/>
      <c r="L74" s="17" t="s">
        <v>18</v>
      </c>
      <c r="M74" s="17" t="s">
        <v>134</v>
      </c>
      <c r="N74" s="40" t="s">
        <v>117</v>
      </c>
      <c r="O74" s="17" t="s">
        <v>118</v>
      </c>
      <c r="P74" s="17" t="s">
        <v>127</v>
      </c>
      <c r="Q74" s="17" t="s">
        <v>121</v>
      </c>
      <c r="R74" s="1"/>
    </row>
    <row r="75" spans="1:18" ht="25.5">
      <c r="A75" s="45" t="s">
        <v>269</v>
      </c>
      <c r="B75" s="17">
        <f t="shared" si="2"/>
        <v>74</v>
      </c>
      <c r="C75" s="18" t="s">
        <v>270</v>
      </c>
      <c r="D75" s="18" t="s">
        <v>95</v>
      </c>
      <c r="E75" s="16" t="s">
        <v>520</v>
      </c>
      <c r="F75" s="16" t="s">
        <v>521</v>
      </c>
      <c r="G75" s="17" t="s">
        <v>48</v>
      </c>
      <c r="H75" s="17" t="s">
        <v>16</v>
      </c>
      <c r="I75" s="6" t="s">
        <v>73</v>
      </c>
      <c r="J75" s="16" t="s">
        <v>18</v>
      </c>
      <c r="K75" s="17"/>
      <c r="L75" s="17" t="s">
        <v>18</v>
      </c>
      <c r="M75" s="17" t="s">
        <v>134</v>
      </c>
      <c r="N75" s="40" t="s">
        <v>117</v>
      </c>
      <c r="O75" s="17" t="s">
        <v>118</v>
      </c>
      <c r="P75" s="17" t="s">
        <v>127</v>
      </c>
      <c r="Q75" s="17" t="s">
        <v>121</v>
      </c>
      <c r="R75" s="1"/>
    </row>
    <row r="76" spans="1:18" ht="25.5">
      <c r="A76" s="46" t="s">
        <v>460</v>
      </c>
      <c r="B76" s="17">
        <f t="shared" si="2"/>
        <v>75</v>
      </c>
      <c r="C76" s="17" t="s">
        <v>522</v>
      </c>
      <c r="D76" s="18" t="s">
        <v>95</v>
      </c>
      <c r="E76" s="16" t="s">
        <v>523</v>
      </c>
      <c r="F76" s="16" t="s">
        <v>524</v>
      </c>
      <c r="G76" s="17" t="s">
        <v>48</v>
      </c>
      <c r="H76" s="17" t="s">
        <v>16</v>
      </c>
      <c r="I76" s="6" t="s">
        <v>73</v>
      </c>
      <c r="J76" s="16" t="s">
        <v>18</v>
      </c>
      <c r="K76" s="17"/>
      <c r="L76" s="17" t="s">
        <v>18</v>
      </c>
      <c r="M76" s="17" t="s">
        <v>134</v>
      </c>
      <c r="N76" s="40" t="s">
        <v>117</v>
      </c>
      <c r="O76" s="17" t="s">
        <v>118</v>
      </c>
      <c r="P76" s="17" t="s">
        <v>127</v>
      </c>
      <c r="Q76" s="17" t="s">
        <v>121</v>
      </c>
      <c r="R76" s="1"/>
    </row>
    <row r="77" spans="1:18" ht="25.5">
      <c r="A77" s="46" t="s">
        <v>461</v>
      </c>
      <c r="B77" s="17">
        <f t="shared" si="2"/>
        <v>76</v>
      </c>
      <c r="C77" s="17" t="s">
        <v>525</v>
      </c>
      <c r="D77" s="18" t="s">
        <v>95</v>
      </c>
      <c r="E77" s="16" t="s">
        <v>526</v>
      </c>
      <c r="F77" s="16" t="s">
        <v>527</v>
      </c>
      <c r="G77" s="17" t="s">
        <v>48</v>
      </c>
      <c r="H77" s="17" t="s">
        <v>16</v>
      </c>
      <c r="I77" s="6" t="s">
        <v>73</v>
      </c>
      <c r="J77" s="16" t="s">
        <v>18</v>
      </c>
      <c r="K77" s="17"/>
      <c r="L77" s="17" t="s">
        <v>18</v>
      </c>
      <c r="M77" s="17" t="s">
        <v>134</v>
      </c>
      <c r="N77" s="40" t="s">
        <v>117</v>
      </c>
      <c r="O77" s="17" t="s">
        <v>118</v>
      </c>
      <c r="P77" s="17" t="s">
        <v>127</v>
      </c>
      <c r="Q77" s="17" t="s">
        <v>121</v>
      </c>
      <c r="R77" s="1"/>
    </row>
    <row r="78" spans="1:18" ht="25.5">
      <c r="A78" s="46" t="s">
        <v>462</v>
      </c>
      <c r="B78" s="17">
        <f t="shared" si="2"/>
        <v>77</v>
      </c>
      <c r="C78" s="17" t="s">
        <v>528</v>
      </c>
      <c r="D78" s="18" t="s">
        <v>95</v>
      </c>
      <c r="E78" s="16" t="s">
        <v>529</v>
      </c>
      <c r="F78" s="16" t="s">
        <v>532</v>
      </c>
      <c r="G78" s="17" t="s">
        <v>48</v>
      </c>
      <c r="H78" s="17" t="s">
        <v>16</v>
      </c>
      <c r="I78" s="6" t="s">
        <v>73</v>
      </c>
      <c r="J78" s="16" t="s">
        <v>18</v>
      </c>
      <c r="K78" s="17"/>
      <c r="L78" s="17" t="s">
        <v>18</v>
      </c>
      <c r="M78" s="17" t="s">
        <v>134</v>
      </c>
      <c r="N78" s="40" t="s">
        <v>117</v>
      </c>
      <c r="O78" s="17" t="s">
        <v>118</v>
      </c>
      <c r="P78" s="17" t="s">
        <v>127</v>
      </c>
      <c r="Q78" s="17" t="s">
        <v>121</v>
      </c>
      <c r="R78" s="1"/>
    </row>
    <row r="79" spans="1:18" ht="25.5">
      <c r="A79" s="46" t="s">
        <v>463</v>
      </c>
      <c r="B79" s="17">
        <f t="shared" si="2"/>
        <v>78</v>
      </c>
      <c r="C79" s="17" t="s">
        <v>534</v>
      </c>
      <c r="D79" s="18" t="s">
        <v>95</v>
      </c>
      <c r="E79" s="16" t="s">
        <v>530</v>
      </c>
      <c r="F79" s="16" t="s">
        <v>531</v>
      </c>
      <c r="G79" s="17" t="s">
        <v>48</v>
      </c>
      <c r="H79" s="17" t="s">
        <v>16</v>
      </c>
      <c r="I79" s="6" t="s">
        <v>73</v>
      </c>
      <c r="J79" s="16" t="s">
        <v>18</v>
      </c>
      <c r="K79" s="17"/>
      <c r="L79" s="17" t="s">
        <v>18</v>
      </c>
      <c r="M79" s="17" t="s">
        <v>134</v>
      </c>
      <c r="N79" s="40" t="s">
        <v>117</v>
      </c>
      <c r="O79" s="17" t="s">
        <v>118</v>
      </c>
      <c r="P79" s="17" t="s">
        <v>127</v>
      </c>
      <c r="Q79" s="17" t="s">
        <v>121</v>
      </c>
      <c r="R79" s="1"/>
    </row>
    <row r="80" spans="1:18" ht="76.5">
      <c r="A80" s="46" t="s">
        <v>683</v>
      </c>
      <c r="B80" s="17">
        <f t="shared" si="2"/>
        <v>79</v>
      </c>
      <c r="C80" s="17" t="s">
        <v>868</v>
      </c>
      <c r="D80" s="18" t="s">
        <v>95</v>
      </c>
      <c r="E80" s="16" t="s">
        <v>883</v>
      </c>
      <c r="F80" s="16" t="s">
        <v>882</v>
      </c>
      <c r="G80" s="17" t="s">
        <v>48</v>
      </c>
      <c r="H80" s="17" t="s">
        <v>16</v>
      </c>
      <c r="I80" s="6" t="s">
        <v>73</v>
      </c>
      <c r="J80" s="16" t="s">
        <v>18</v>
      </c>
      <c r="K80" s="17"/>
      <c r="L80" s="17" t="s">
        <v>18</v>
      </c>
      <c r="M80" s="17" t="s">
        <v>134</v>
      </c>
      <c r="N80" s="40" t="s">
        <v>117</v>
      </c>
      <c r="O80" s="17" t="s">
        <v>118</v>
      </c>
      <c r="P80" s="31" t="s">
        <v>126</v>
      </c>
      <c r="Q80" s="17" t="s">
        <v>121</v>
      </c>
      <c r="R80" s="1"/>
    </row>
    <row r="81" spans="1:18" ht="25.5">
      <c r="A81" s="46" t="s">
        <v>179</v>
      </c>
      <c r="B81" s="17">
        <f t="shared" si="2"/>
        <v>80</v>
      </c>
      <c r="C81" s="17" t="s">
        <v>535</v>
      </c>
      <c r="D81" s="18" t="s">
        <v>95</v>
      </c>
      <c r="E81" s="15" t="s">
        <v>392</v>
      </c>
      <c r="F81" s="16" t="s">
        <v>267</v>
      </c>
      <c r="G81" s="17" t="s">
        <v>48</v>
      </c>
      <c r="H81" s="17" t="s">
        <v>16</v>
      </c>
      <c r="I81" s="6" t="s">
        <v>72</v>
      </c>
      <c r="J81" s="16" t="s">
        <v>156</v>
      </c>
      <c r="K81" s="17"/>
      <c r="L81" s="17" t="s">
        <v>18</v>
      </c>
      <c r="M81" s="17" t="s">
        <v>134</v>
      </c>
      <c r="N81" s="40" t="s">
        <v>117</v>
      </c>
      <c r="O81" s="17" t="s">
        <v>118</v>
      </c>
      <c r="P81" s="17" t="s">
        <v>127</v>
      </c>
      <c r="Q81" s="17" t="s">
        <v>121</v>
      </c>
      <c r="R81" s="1"/>
    </row>
    <row r="82" spans="1:18" ht="25.5">
      <c r="A82" s="46" t="s">
        <v>466</v>
      </c>
      <c r="B82" s="17">
        <f t="shared" si="2"/>
        <v>81</v>
      </c>
      <c r="C82" s="17" t="s">
        <v>538</v>
      </c>
      <c r="D82" s="18" t="s">
        <v>95</v>
      </c>
      <c r="E82" s="16" t="s">
        <v>544</v>
      </c>
      <c r="F82" s="16" t="s">
        <v>545</v>
      </c>
      <c r="G82" s="17" t="s">
        <v>48</v>
      </c>
      <c r="H82" s="17" t="s">
        <v>16</v>
      </c>
      <c r="I82" s="6" t="s">
        <v>73</v>
      </c>
      <c r="J82" s="16" t="s">
        <v>156</v>
      </c>
      <c r="K82" s="17"/>
      <c r="L82" s="17" t="s">
        <v>18</v>
      </c>
      <c r="M82" s="17" t="s">
        <v>134</v>
      </c>
      <c r="N82" s="40" t="s">
        <v>117</v>
      </c>
      <c r="O82" s="17" t="s">
        <v>118</v>
      </c>
      <c r="P82" s="17" t="s">
        <v>120</v>
      </c>
      <c r="Q82" s="17" t="s">
        <v>121</v>
      </c>
      <c r="R82" s="1"/>
    </row>
    <row r="83" spans="1:18" ht="25.5">
      <c r="A83" s="46" t="s">
        <v>464</v>
      </c>
      <c r="B83" s="17">
        <f t="shared" si="2"/>
        <v>82</v>
      </c>
      <c r="C83" s="17" t="s">
        <v>536</v>
      </c>
      <c r="D83" s="18" t="s">
        <v>95</v>
      </c>
      <c r="E83" s="16" t="s">
        <v>540</v>
      </c>
      <c r="F83" s="16" t="s">
        <v>541</v>
      </c>
      <c r="G83" s="17" t="s">
        <v>48</v>
      </c>
      <c r="H83" s="17" t="s">
        <v>16</v>
      </c>
      <c r="I83" s="6" t="s">
        <v>73</v>
      </c>
      <c r="J83" s="16" t="s">
        <v>156</v>
      </c>
      <c r="K83" s="17"/>
      <c r="L83" s="17" t="s">
        <v>18</v>
      </c>
      <c r="M83" s="17" t="s">
        <v>134</v>
      </c>
      <c r="N83" s="40" t="s">
        <v>117</v>
      </c>
      <c r="O83" s="17" t="s">
        <v>118</v>
      </c>
      <c r="P83" s="17" t="s">
        <v>120</v>
      </c>
      <c r="Q83" s="17" t="s">
        <v>121</v>
      </c>
      <c r="R83" s="1"/>
    </row>
    <row r="84" spans="1:18" ht="25.5">
      <c r="A84" s="46" t="s">
        <v>465</v>
      </c>
      <c r="B84" s="17">
        <f t="shared" si="2"/>
        <v>83</v>
      </c>
      <c r="C84" s="17" t="s">
        <v>537</v>
      </c>
      <c r="D84" s="18" t="s">
        <v>95</v>
      </c>
      <c r="E84" s="16" t="s">
        <v>542</v>
      </c>
      <c r="F84" s="16" t="s">
        <v>543</v>
      </c>
      <c r="G84" s="17" t="s">
        <v>48</v>
      </c>
      <c r="H84" s="17" t="s">
        <v>16</v>
      </c>
      <c r="I84" s="6" t="s">
        <v>73</v>
      </c>
      <c r="J84" s="16" t="s">
        <v>156</v>
      </c>
      <c r="K84" s="17"/>
      <c r="L84" s="17" t="s">
        <v>18</v>
      </c>
      <c r="M84" s="17" t="s">
        <v>134</v>
      </c>
      <c r="N84" s="40" t="s">
        <v>117</v>
      </c>
      <c r="O84" s="17" t="s">
        <v>118</v>
      </c>
      <c r="P84" s="17" t="s">
        <v>120</v>
      </c>
      <c r="Q84" s="17" t="s">
        <v>121</v>
      </c>
      <c r="R84" s="1"/>
    </row>
    <row r="85" spans="1:18" ht="25.5">
      <c r="A85" s="47" t="s">
        <v>468</v>
      </c>
      <c r="B85" s="17">
        <f t="shared" si="2"/>
        <v>84</v>
      </c>
      <c r="C85" s="31" t="s">
        <v>548</v>
      </c>
      <c r="D85" s="18" t="s">
        <v>95</v>
      </c>
      <c r="E85" s="16" t="s">
        <v>508</v>
      </c>
      <c r="F85" s="16" t="s">
        <v>509</v>
      </c>
      <c r="G85" s="17" t="s">
        <v>48</v>
      </c>
      <c r="H85" s="17" t="s">
        <v>16</v>
      </c>
      <c r="I85" s="6" t="s">
        <v>73</v>
      </c>
      <c r="J85" s="16" t="s">
        <v>156</v>
      </c>
      <c r="K85" s="17"/>
      <c r="L85" s="17" t="s">
        <v>18</v>
      </c>
      <c r="M85" s="17" t="s">
        <v>134</v>
      </c>
      <c r="N85" s="40" t="s">
        <v>117</v>
      </c>
      <c r="O85" s="17" t="s">
        <v>118</v>
      </c>
      <c r="P85" s="17" t="s">
        <v>120</v>
      </c>
      <c r="Q85" s="17" t="s">
        <v>121</v>
      </c>
      <c r="R85" s="1"/>
    </row>
    <row r="86" spans="1:18" ht="25.5">
      <c r="A86" s="46" t="s">
        <v>467</v>
      </c>
      <c r="B86" s="17">
        <f t="shared" si="2"/>
        <v>85</v>
      </c>
      <c r="C86" s="17" t="s">
        <v>539</v>
      </c>
      <c r="D86" s="18" t="s">
        <v>95</v>
      </c>
      <c r="E86" s="16" t="s">
        <v>546</v>
      </c>
      <c r="F86" s="16" t="s">
        <v>547</v>
      </c>
      <c r="G86" s="17" t="s">
        <v>48</v>
      </c>
      <c r="H86" s="17" t="s">
        <v>16</v>
      </c>
      <c r="I86" s="6" t="s">
        <v>73</v>
      </c>
      <c r="J86" s="16" t="s">
        <v>156</v>
      </c>
      <c r="K86" s="17"/>
      <c r="L86" s="17" t="s">
        <v>18</v>
      </c>
      <c r="M86" s="17" t="s">
        <v>134</v>
      </c>
      <c r="N86" s="40" t="s">
        <v>117</v>
      </c>
      <c r="O86" s="17" t="s">
        <v>118</v>
      </c>
      <c r="P86" s="17" t="s">
        <v>120</v>
      </c>
      <c r="Q86" s="17" t="s">
        <v>121</v>
      </c>
      <c r="R86" s="1"/>
    </row>
    <row r="87" spans="1:18" ht="25.5">
      <c r="A87" s="45" t="s">
        <v>180</v>
      </c>
      <c r="B87" s="17">
        <f t="shared" si="2"/>
        <v>86</v>
      </c>
      <c r="C87" s="18" t="s">
        <v>144</v>
      </c>
      <c r="D87" s="18" t="s">
        <v>95</v>
      </c>
      <c r="E87" s="16" t="s">
        <v>550</v>
      </c>
      <c r="F87" s="16" t="s">
        <v>549</v>
      </c>
      <c r="G87" s="17" t="s">
        <v>48</v>
      </c>
      <c r="H87" s="17" t="s">
        <v>16</v>
      </c>
      <c r="I87" s="6" t="s">
        <v>73</v>
      </c>
      <c r="J87" s="16" t="s">
        <v>157</v>
      </c>
      <c r="K87" s="17"/>
      <c r="L87" s="17" t="s">
        <v>18</v>
      </c>
      <c r="M87" s="17" t="s">
        <v>134</v>
      </c>
      <c r="N87" s="40" t="s">
        <v>117</v>
      </c>
      <c r="O87" s="17" t="s">
        <v>118</v>
      </c>
      <c r="P87" s="17" t="s">
        <v>120</v>
      </c>
      <c r="Q87" s="17" t="s">
        <v>121</v>
      </c>
      <c r="R87" s="1"/>
    </row>
    <row r="88" spans="1:18" ht="25.5">
      <c r="A88" s="46" t="s">
        <v>469</v>
      </c>
      <c r="B88" s="17">
        <f t="shared" si="2"/>
        <v>87</v>
      </c>
      <c r="C88" s="17" t="s">
        <v>515</v>
      </c>
      <c r="D88" s="18" t="s">
        <v>95</v>
      </c>
      <c r="E88" s="16" t="s">
        <v>551</v>
      </c>
      <c r="F88" s="16" t="s">
        <v>552</v>
      </c>
      <c r="G88" s="17" t="s">
        <v>48</v>
      </c>
      <c r="H88" s="17" t="s">
        <v>16</v>
      </c>
      <c r="I88" s="6" t="s">
        <v>73</v>
      </c>
      <c r="J88" s="16" t="s">
        <v>157</v>
      </c>
      <c r="K88" s="17"/>
      <c r="L88" s="17" t="s">
        <v>18</v>
      </c>
      <c r="M88" s="17" t="s">
        <v>134</v>
      </c>
      <c r="N88" s="40" t="s">
        <v>117</v>
      </c>
      <c r="O88" s="17" t="s">
        <v>118</v>
      </c>
      <c r="P88" s="17" t="s">
        <v>120</v>
      </c>
      <c r="Q88" s="17" t="s">
        <v>121</v>
      </c>
      <c r="R88" s="1"/>
    </row>
    <row r="89" spans="1:18" ht="25.5">
      <c r="A89" s="61" t="s">
        <v>884</v>
      </c>
      <c r="B89" s="62">
        <v>86</v>
      </c>
      <c r="C89" s="62" t="s">
        <v>887</v>
      </c>
      <c r="D89" s="62" t="s">
        <v>95</v>
      </c>
      <c r="E89" s="63" t="s">
        <v>893</v>
      </c>
      <c r="F89" s="63"/>
      <c r="G89" s="62" t="s">
        <v>48</v>
      </c>
      <c r="H89" s="17" t="s">
        <v>16</v>
      </c>
      <c r="I89" s="64" t="s">
        <v>72</v>
      </c>
      <c r="J89" s="63" t="s">
        <v>892</v>
      </c>
      <c r="K89" s="62"/>
      <c r="L89" s="17" t="s">
        <v>18</v>
      </c>
      <c r="M89" s="17" t="s">
        <v>134</v>
      </c>
      <c r="N89" s="40" t="s">
        <v>117</v>
      </c>
      <c r="O89" s="17" t="s">
        <v>118</v>
      </c>
      <c r="P89" s="17" t="s">
        <v>120</v>
      </c>
      <c r="Q89" s="17" t="s">
        <v>121</v>
      </c>
      <c r="R89" s="1"/>
    </row>
    <row r="90" spans="1:18" ht="25.5">
      <c r="A90" s="61" t="s">
        <v>885</v>
      </c>
      <c r="B90" s="62">
        <v>87</v>
      </c>
      <c r="C90" s="62" t="s">
        <v>886</v>
      </c>
      <c r="D90" s="62" t="s">
        <v>95</v>
      </c>
      <c r="E90" s="63" t="s">
        <v>894</v>
      </c>
      <c r="F90" s="63"/>
      <c r="G90" s="62" t="s">
        <v>48</v>
      </c>
      <c r="H90" s="17" t="s">
        <v>16</v>
      </c>
      <c r="I90" s="64" t="s">
        <v>72</v>
      </c>
      <c r="J90" s="63" t="s">
        <v>892</v>
      </c>
      <c r="K90" s="62"/>
      <c r="L90" s="17" t="s">
        <v>18</v>
      </c>
      <c r="M90" s="17" t="s">
        <v>134</v>
      </c>
      <c r="N90" s="40" t="s">
        <v>117</v>
      </c>
      <c r="O90" s="17" t="s">
        <v>118</v>
      </c>
      <c r="P90" s="17" t="s">
        <v>120</v>
      </c>
      <c r="Q90" s="17" t="s">
        <v>121</v>
      </c>
      <c r="R90" s="1"/>
    </row>
    <row r="91" spans="1:18" ht="25.5">
      <c r="A91" s="47" t="s">
        <v>357</v>
      </c>
      <c r="B91" s="17">
        <f t="shared" si="2"/>
        <v>90</v>
      </c>
      <c r="C91" s="31" t="s">
        <v>358</v>
      </c>
      <c r="D91" s="31" t="s">
        <v>95</v>
      </c>
      <c r="E91" s="32" t="s">
        <v>619</v>
      </c>
      <c r="F91" s="32" t="s">
        <v>359</v>
      </c>
      <c r="G91" s="31" t="s">
        <v>360</v>
      </c>
      <c r="H91" s="31" t="s">
        <v>16</v>
      </c>
      <c r="I91" s="52" t="s">
        <v>72</v>
      </c>
      <c r="J91" s="32" t="s">
        <v>18</v>
      </c>
      <c r="K91" s="31"/>
      <c r="L91" s="31" t="s">
        <v>18</v>
      </c>
      <c r="M91" s="31" t="s">
        <v>134</v>
      </c>
      <c r="N91" s="53" t="s">
        <v>117</v>
      </c>
      <c r="O91" s="31" t="s">
        <v>118</v>
      </c>
      <c r="P91" s="31" t="s">
        <v>126</v>
      </c>
      <c r="Q91" s="31" t="s">
        <v>121</v>
      </c>
      <c r="R91" s="1"/>
    </row>
    <row r="92" spans="1:18" ht="25.5">
      <c r="A92" s="47" t="s">
        <v>361</v>
      </c>
      <c r="B92" s="17">
        <f t="shared" si="2"/>
        <v>91</v>
      </c>
      <c r="C92" s="31" t="s">
        <v>364</v>
      </c>
      <c r="D92" s="31" t="s">
        <v>95</v>
      </c>
      <c r="E92" s="32" t="s">
        <v>620</v>
      </c>
      <c r="F92" s="32" t="s">
        <v>621</v>
      </c>
      <c r="G92" s="31" t="s">
        <v>360</v>
      </c>
      <c r="H92" s="31" t="s">
        <v>16</v>
      </c>
      <c r="I92" s="52" t="s">
        <v>72</v>
      </c>
      <c r="J92" s="32" t="s">
        <v>18</v>
      </c>
      <c r="K92" s="31"/>
      <c r="L92" s="31" t="s">
        <v>18</v>
      </c>
      <c r="M92" s="31" t="s">
        <v>134</v>
      </c>
      <c r="N92" s="53" t="s">
        <v>117</v>
      </c>
      <c r="O92" s="31" t="s">
        <v>118</v>
      </c>
      <c r="P92" s="31" t="s">
        <v>126</v>
      </c>
      <c r="Q92" s="31" t="s">
        <v>121</v>
      </c>
      <c r="R92" s="1"/>
    </row>
    <row r="93" spans="1:18" ht="25.5">
      <c r="A93" s="47" t="s">
        <v>362</v>
      </c>
      <c r="B93" s="17">
        <f t="shared" si="2"/>
        <v>92</v>
      </c>
      <c r="C93" s="31" t="s">
        <v>365</v>
      </c>
      <c r="D93" s="31" t="s">
        <v>95</v>
      </c>
      <c r="E93" s="32" t="s">
        <v>407</v>
      </c>
      <c r="F93" s="32" t="s">
        <v>363</v>
      </c>
      <c r="G93" s="31" t="s">
        <v>360</v>
      </c>
      <c r="H93" s="31" t="s">
        <v>16</v>
      </c>
      <c r="I93" s="52" t="s">
        <v>72</v>
      </c>
      <c r="J93" s="32" t="s">
        <v>18</v>
      </c>
      <c r="K93" s="31"/>
      <c r="L93" s="31" t="s">
        <v>18</v>
      </c>
      <c r="M93" s="31" t="s">
        <v>134</v>
      </c>
      <c r="N93" s="53" t="s">
        <v>117</v>
      </c>
      <c r="O93" s="31" t="s">
        <v>118</v>
      </c>
      <c r="P93" s="31" t="s">
        <v>126</v>
      </c>
      <c r="Q93" s="31" t="s">
        <v>121</v>
      </c>
      <c r="R93" s="1"/>
    </row>
    <row r="94" spans="1:18" ht="25.5">
      <c r="A94" s="46" t="s">
        <v>295</v>
      </c>
      <c r="B94" s="17">
        <f t="shared" si="2"/>
        <v>93</v>
      </c>
      <c r="C94" s="18" t="s">
        <v>296</v>
      </c>
      <c r="D94" s="17" t="s">
        <v>95</v>
      </c>
      <c r="E94" s="16" t="s">
        <v>299</v>
      </c>
      <c r="F94" s="15" t="s">
        <v>300</v>
      </c>
      <c r="G94" s="17" t="s">
        <v>40</v>
      </c>
      <c r="H94" s="17" t="s">
        <v>16</v>
      </c>
      <c r="I94" s="6" t="s">
        <v>297</v>
      </c>
      <c r="J94" s="16" t="s">
        <v>18</v>
      </c>
      <c r="K94" s="18"/>
      <c r="L94" s="16" t="s">
        <v>18</v>
      </c>
      <c r="M94" s="17" t="s">
        <v>134</v>
      </c>
      <c r="N94" s="40" t="s">
        <v>117</v>
      </c>
      <c r="O94" s="17" t="s">
        <v>118</v>
      </c>
      <c r="P94" s="17" t="s">
        <v>128</v>
      </c>
      <c r="Q94" s="17" t="s">
        <v>121</v>
      </c>
      <c r="R94" s="1"/>
    </row>
    <row r="95" spans="1:18" ht="25.5">
      <c r="A95" s="45" t="s">
        <v>328</v>
      </c>
      <c r="B95" s="17">
        <f t="shared" si="2"/>
        <v>94</v>
      </c>
      <c r="C95" s="17" t="s">
        <v>332</v>
      </c>
      <c r="D95" s="17" t="s">
        <v>95</v>
      </c>
      <c r="E95" s="16" t="s">
        <v>693</v>
      </c>
      <c r="F95" s="16" t="s">
        <v>475</v>
      </c>
      <c r="G95" s="17" t="s">
        <v>40</v>
      </c>
      <c r="H95" s="17" t="s">
        <v>16</v>
      </c>
      <c r="I95" s="6" t="s">
        <v>340</v>
      </c>
      <c r="J95" s="16" t="s">
        <v>18</v>
      </c>
      <c r="K95" s="17" t="s">
        <v>339</v>
      </c>
      <c r="L95" s="17" t="s">
        <v>339</v>
      </c>
      <c r="M95" s="17" t="s">
        <v>134</v>
      </c>
      <c r="N95" s="40" t="s">
        <v>117</v>
      </c>
      <c r="O95" s="17" t="s">
        <v>118</v>
      </c>
      <c r="P95" s="18" t="s">
        <v>133</v>
      </c>
      <c r="Q95" s="17" t="s">
        <v>121</v>
      </c>
      <c r="R95" s="1"/>
    </row>
    <row r="96" spans="1:18" ht="25.5">
      <c r="A96" s="45" t="s">
        <v>329</v>
      </c>
      <c r="B96" s="17">
        <f t="shared" si="2"/>
        <v>95</v>
      </c>
      <c r="C96" s="17" t="s">
        <v>333</v>
      </c>
      <c r="D96" s="17" t="s">
        <v>95</v>
      </c>
      <c r="E96" s="16" t="s">
        <v>692</v>
      </c>
      <c r="F96" s="16" t="s">
        <v>337</v>
      </c>
      <c r="G96" s="17" t="s">
        <v>40</v>
      </c>
      <c r="H96" s="17" t="s">
        <v>16</v>
      </c>
      <c r="I96" s="6" t="s">
        <v>340</v>
      </c>
      <c r="J96" s="16" t="s">
        <v>18</v>
      </c>
      <c r="K96" s="17" t="s">
        <v>18</v>
      </c>
      <c r="L96" s="17" t="s">
        <v>18</v>
      </c>
      <c r="M96" s="17" t="s">
        <v>134</v>
      </c>
      <c r="N96" s="40" t="s">
        <v>117</v>
      </c>
      <c r="O96" s="17" t="s">
        <v>118</v>
      </c>
      <c r="P96" s="18" t="s">
        <v>133</v>
      </c>
      <c r="Q96" s="17" t="s">
        <v>121</v>
      </c>
      <c r="R96" s="1"/>
    </row>
    <row r="97" spans="1:18" ht="25.5">
      <c r="A97" s="45" t="s">
        <v>330</v>
      </c>
      <c r="B97" s="17">
        <f t="shared" si="2"/>
        <v>96</v>
      </c>
      <c r="C97" s="17" t="s">
        <v>334</v>
      </c>
      <c r="D97" s="17" t="s">
        <v>95</v>
      </c>
      <c r="E97" s="16" t="s">
        <v>410</v>
      </c>
      <c r="F97" s="16" t="s">
        <v>338</v>
      </c>
      <c r="G97" s="17" t="s">
        <v>40</v>
      </c>
      <c r="H97" s="17" t="s">
        <v>16</v>
      </c>
      <c r="I97" s="6" t="s">
        <v>341</v>
      </c>
      <c r="J97" s="16" t="s">
        <v>18</v>
      </c>
      <c r="K97" s="17" t="s">
        <v>18</v>
      </c>
      <c r="L97" s="17" t="s">
        <v>18</v>
      </c>
      <c r="M97" s="17" t="s">
        <v>134</v>
      </c>
      <c r="N97" s="40" t="s">
        <v>117</v>
      </c>
      <c r="O97" s="17" t="s">
        <v>118</v>
      </c>
      <c r="P97" s="18" t="s">
        <v>133</v>
      </c>
      <c r="Q97" s="17" t="s">
        <v>121</v>
      </c>
      <c r="R97" s="1"/>
    </row>
    <row r="98" spans="1:18" ht="25.5">
      <c r="A98" s="45" t="s">
        <v>331</v>
      </c>
      <c r="B98" s="17">
        <f t="shared" si="2"/>
        <v>97</v>
      </c>
      <c r="C98" s="17" t="s">
        <v>335</v>
      </c>
      <c r="D98" s="17" t="s">
        <v>95</v>
      </c>
      <c r="E98" s="16" t="s">
        <v>336</v>
      </c>
      <c r="F98" s="16" t="s">
        <v>336</v>
      </c>
      <c r="G98" s="17" t="s">
        <v>40</v>
      </c>
      <c r="H98" s="17" t="s">
        <v>16</v>
      </c>
      <c r="I98" s="6" t="s">
        <v>18</v>
      </c>
      <c r="J98" s="16" t="s">
        <v>18</v>
      </c>
      <c r="K98" s="17" t="s">
        <v>18</v>
      </c>
      <c r="L98" s="17" t="s">
        <v>18</v>
      </c>
      <c r="M98" s="17" t="s">
        <v>134</v>
      </c>
      <c r="N98" s="40" t="s">
        <v>117</v>
      </c>
      <c r="O98" s="17" t="s">
        <v>118</v>
      </c>
      <c r="P98" s="17" t="s">
        <v>121</v>
      </c>
      <c r="Q98" s="17" t="s">
        <v>121</v>
      </c>
      <c r="R98" s="1"/>
    </row>
    <row r="99" spans="1:18" ht="25.5">
      <c r="A99" s="45" t="s">
        <v>342</v>
      </c>
      <c r="B99" s="17">
        <f t="shared" si="2"/>
        <v>98</v>
      </c>
      <c r="C99" s="18" t="s">
        <v>343</v>
      </c>
      <c r="D99" s="18" t="s">
        <v>95</v>
      </c>
      <c r="E99" s="16" t="s">
        <v>411</v>
      </c>
      <c r="F99" s="15" t="s">
        <v>347</v>
      </c>
      <c r="G99" s="18" t="s">
        <v>40</v>
      </c>
      <c r="H99" s="18" t="s">
        <v>16</v>
      </c>
      <c r="I99" s="6" t="s">
        <v>354</v>
      </c>
      <c r="J99" s="15" t="s">
        <v>18</v>
      </c>
      <c r="K99" s="18" t="s">
        <v>18</v>
      </c>
      <c r="L99" s="18" t="s">
        <v>18</v>
      </c>
      <c r="M99" s="17" t="s">
        <v>134</v>
      </c>
      <c r="N99" s="40" t="s">
        <v>117</v>
      </c>
      <c r="O99" s="17" t="s">
        <v>118</v>
      </c>
      <c r="P99" s="18" t="s">
        <v>344</v>
      </c>
      <c r="Q99" s="18" t="s">
        <v>121</v>
      </c>
      <c r="R99" s="1"/>
    </row>
    <row r="100" spans="1:18" ht="25.5">
      <c r="A100" s="45" t="s">
        <v>345</v>
      </c>
      <c r="B100" s="17">
        <f t="shared" si="2"/>
        <v>99</v>
      </c>
      <c r="C100" s="18" t="s">
        <v>346</v>
      </c>
      <c r="D100" s="18" t="s">
        <v>95</v>
      </c>
      <c r="E100" s="15" t="s">
        <v>412</v>
      </c>
      <c r="F100" s="15" t="s">
        <v>348</v>
      </c>
      <c r="G100" s="18" t="s">
        <v>40</v>
      </c>
      <c r="H100" s="18" t="s">
        <v>16</v>
      </c>
      <c r="I100" s="6" t="s">
        <v>354</v>
      </c>
      <c r="J100" s="15" t="s">
        <v>18</v>
      </c>
      <c r="K100" s="18" t="s">
        <v>18</v>
      </c>
      <c r="L100" s="18" t="s">
        <v>18</v>
      </c>
      <c r="M100" s="17" t="s">
        <v>134</v>
      </c>
      <c r="N100" s="40" t="s">
        <v>117</v>
      </c>
      <c r="O100" s="17" t="s">
        <v>118</v>
      </c>
      <c r="P100" s="18" t="s">
        <v>344</v>
      </c>
      <c r="Q100" s="18" t="s">
        <v>121</v>
      </c>
      <c r="R100" s="1"/>
    </row>
    <row r="101" spans="1:18" ht="25.5">
      <c r="A101" s="46" t="s">
        <v>673</v>
      </c>
      <c r="B101" s="17">
        <f t="shared" si="2"/>
        <v>100</v>
      </c>
      <c r="C101" s="17" t="s">
        <v>676</v>
      </c>
      <c r="D101" s="17" t="s">
        <v>95</v>
      </c>
      <c r="E101" s="16" t="s">
        <v>694</v>
      </c>
      <c r="F101" s="16" t="s">
        <v>677</v>
      </c>
      <c r="G101" s="17" t="s">
        <v>40</v>
      </c>
      <c r="H101" s="17" t="s">
        <v>16</v>
      </c>
      <c r="I101" s="6" t="s">
        <v>340</v>
      </c>
      <c r="J101" s="16" t="s">
        <v>18</v>
      </c>
      <c r="K101" s="17" t="s">
        <v>339</v>
      </c>
      <c r="L101" s="17" t="s">
        <v>339</v>
      </c>
      <c r="M101" s="17" t="s">
        <v>134</v>
      </c>
      <c r="N101" s="40" t="s">
        <v>117</v>
      </c>
      <c r="O101" s="17" t="s">
        <v>118</v>
      </c>
      <c r="P101" s="18" t="s">
        <v>133</v>
      </c>
      <c r="Q101" s="17" t="s">
        <v>121</v>
      </c>
      <c r="R101" s="1"/>
    </row>
    <row r="102" spans="1:18" ht="25.5">
      <c r="A102" s="46" t="s">
        <v>688</v>
      </c>
      <c r="B102" s="17">
        <f t="shared" ref="B102:B133" si="3">ROW()-1</f>
        <v>101</v>
      </c>
      <c r="C102" s="17" t="s">
        <v>689</v>
      </c>
      <c r="D102" s="17" t="s">
        <v>95</v>
      </c>
      <c r="E102" s="16" t="s">
        <v>695</v>
      </c>
      <c r="F102" s="16" t="s">
        <v>690</v>
      </c>
      <c r="G102" s="17" t="s">
        <v>40</v>
      </c>
      <c r="H102" s="17" t="s">
        <v>16</v>
      </c>
      <c r="I102" s="6" t="s">
        <v>66</v>
      </c>
      <c r="J102" s="16" t="s">
        <v>691</v>
      </c>
      <c r="K102" s="17" t="s">
        <v>18</v>
      </c>
      <c r="L102" s="17" t="s">
        <v>18</v>
      </c>
      <c r="M102" s="17" t="s">
        <v>134</v>
      </c>
      <c r="N102" s="40" t="s">
        <v>117</v>
      </c>
      <c r="O102" s="17" t="s">
        <v>118</v>
      </c>
      <c r="P102" s="17" t="s">
        <v>120</v>
      </c>
      <c r="Q102" s="17" t="s">
        <v>121</v>
      </c>
      <c r="R102" s="1"/>
    </row>
    <row r="103" spans="1:18" ht="25.5">
      <c r="A103" s="46" t="s">
        <v>734</v>
      </c>
      <c r="B103" s="17">
        <f t="shared" si="3"/>
        <v>102</v>
      </c>
      <c r="C103" s="17" t="s">
        <v>740</v>
      </c>
      <c r="D103" s="17" t="s">
        <v>95</v>
      </c>
      <c r="E103" s="16" t="s">
        <v>735</v>
      </c>
      <c r="F103" s="16" t="s">
        <v>738</v>
      </c>
      <c r="G103" s="17" t="s">
        <v>40</v>
      </c>
      <c r="H103" s="17" t="s">
        <v>16</v>
      </c>
      <c r="I103" s="6" t="s">
        <v>736</v>
      </c>
      <c r="J103" s="16" t="s">
        <v>18</v>
      </c>
      <c r="K103" s="17" t="s">
        <v>18</v>
      </c>
      <c r="L103" s="17" t="s">
        <v>18</v>
      </c>
      <c r="M103" s="17" t="s">
        <v>134</v>
      </c>
      <c r="N103" s="40" t="s">
        <v>117</v>
      </c>
      <c r="O103" s="17" t="s">
        <v>118</v>
      </c>
      <c r="P103" s="18" t="s">
        <v>344</v>
      </c>
      <c r="Q103" s="17" t="s">
        <v>121</v>
      </c>
      <c r="R103" s="1"/>
    </row>
    <row r="104" spans="1:18">
      <c r="A104" s="46" t="s">
        <v>739</v>
      </c>
      <c r="B104" s="17">
        <f t="shared" si="3"/>
        <v>103</v>
      </c>
      <c r="C104" s="17" t="s">
        <v>870</v>
      </c>
      <c r="D104" s="17" t="s">
        <v>95</v>
      </c>
      <c r="E104" s="16" t="s">
        <v>871</v>
      </c>
      <c r="F104" s="16" t="s">
        <v>872</v>
      </c>
      <c r="G104" s="17" t="s">
        <v>40</v>
      </c>
      <c r="H104" s="17" t="s">
        <v>16</v>
      </c>
      <c r="I104" s="6" t="s">
        <v>742</v>
      </c>
      <c r="J104" s="16" t="s">
        <v>18</v>
      </c>
      <c r="K104" s="17" t="s">
        <v>18</v>
      </c>
      <c r="L104" s="17" t="s">
        <v>18</v>
      </c>
      <c r="M104" s="17" t="s">
        <v>134</v>
      </c>
      <c r="N104" s="40"/>
      <c r="O104" s="17"/>
      <c r="P104" s="18"/>
      <c r="Q104" s="17" t="s">
        <v>121</v>
      </c>
      <c r="R104" s="1"/>
    </row>
    <row r="105" spans="1:18" ht="25.5">
      <c r="A105" s="46" t="s">
        <v>797</v>
      </c>
      <c r="B105" s="17">
        <f t="shared" si="3"/>
        <v>104</v>
      </c>
      <c r="C105" s="17" t="s">
        <v>800</v>
      </c>
      <c r="D105" s="17" t="s">
        <v>95</v>
      </c>
      <c r="E105" s="16" t="s">
        <v>798</v>
      </c>
      <c r="F105" s="16" t="s">
        <v>799</v>
      </c>
      <c r="G105" s="17" t="s">
        <v>40</v>
      </c>
      <c r="H105" s="17" t="s">
        <v>16</v>
      </c>
      <c r="I105" s="6" t="s">
        <v>742</v>
      </c>
      <c r="J105" s="16" t="s">
        <v>18</v>
      </c>
      <c r="K105" s="17" t="s">
        <v>18</v>
      </c>
      <c r="L105" s="17" t="s">
        <v>18</v>
      </c>
      <c r="M105" s="17" t="s">
        <v>134</v>
      </c>
      <c r="N105" s="40"/>
      <c r="O105" s="17"/>
      <c r="P105" s="18"/>
      <c r="Q105" s="17" t="s">
        <v>121</v>
      </c>
      <c r="R105" s="1"/>
    </row>
    <row r="106" spans="1:18">
      <c r="A106" s="46" t="s">
        <v>811</v>
      </c>
      <c r="B106" s="17">
        <f t="shared" si="3"/>
        <v>105</v>
      </c>
      <c r="C106" s="17" t="s">
        <v>816</v>
      </c>
      <c r="D106" s="17" t="s">
        <v>95</v>
      </c>
      <c r="E106" s="17" t="s">
        <v>813</v>
      </c>
      <c r="F106" s="16" t="s">
        <v>819</v>
      </c>
      <c r="G106" s="17" t="s">
        <v>40</v>
      </c>
      <c r="H106" s="17"/>
      <c r="I106" s="6"/>
      <c r="J106" s="16" t="s">
        <v>18</v>
      </c>
      <c r="K106" s="17" t="s">
        <v>18</v>
      </c>
      <c r="L106" s="17" t="s">
        <v>18</v>
      </c>
      <c r="M106" s="17" t="s">
        <v>134</v>
      </c>
      <c r="N106" s="40"/>
      <c r="O106" s="17"/>
      <c r="P106" s="18"/>
      <c r="Q106" s="17" t="s">
        <v>121</v>
      </c>
      <c r="R106" s="1"/>
    </row>
    <row r="107" spans="1:18">
      <c r="A107" s="46" t="s">
        <v>812</v>
      </c>
      <c r="B107" s="17">
        <f t="shared" si="3"/>
        <v>106</v>
      </c>
      <c r="C107" s="17" t="s">
        <v>824</v>
      </c>
      <c r="D107" s="17" t="s">
        <v>95</v>
      </c>
      <c r="E107" s="17" t="s">
        <v>814</v>
      </c>
      <c r="F107" s="16" t="s">
        <v>818</v>
      </c>
      <c r="G107" s="17" t="s">
        <v>40</v>
      </c>
      <c r="H107" s="17"/>
      <c r="I107" s="6"/>
      <c r="J107" s="16" t="s">
        <v>18</v>
      </c>
      <c r="K107" s="17" t="s">
        <v>18</v>
      </c>
      <c r="L107" s="17" t="s">
        <v>18</v>
      </c>
      <c r="M107" s="17" t="s">
        <v>134</v>
      </c>
      <c r="N107" s="40"/>
      <c r="O107" s="17"/>
      <c r="P107" s="18"/>
      <c r="Q107" s="17" t="s">
        <v>121</v>
      </c>
      <c r="R107" s="1"/>
    </row>
    <row r="108" spans="1:18" ht="25.5">
      <c r="A108" s="46" t="s">
        <v>861</v>
      </c>
      <c r="B108" s="17">
        <f t="shared" si="3"/>
        <v>107</v>
      </c>
      <c r="C108" s="17" t="s">
        <v>862</v>
      </c>
      <c r="D108" s="17" t="s">
        <v>95</v>
      </c>
      <c r="E108" s="17" t="s">
        <v>863</v>
      </c>
      <c r="F108" s="16" t="s">
        <v>864</v>
      </c>
      <c r="G108" s="17" t="s">
        <v>40</v>
      </c>
      <c r="H108" s="17" t="s">
        <v>16</v>
      </c>
      <c r="I108" s="6" t="s">
        <v>340</v>
      </c>
      <c r="J108" s="16" t="s">
        <v>18</v>
      </c>
      <c r="K108" s="17" t="s">
        <v>18</v>
      </c>
      <c r="L108" s="17" t="s">
        <v>18</v>
      </c>
      <c r="M108" s="17" t="s">
        <v>134</v>
      </c>
      <c r="N108" s="40" t="s">
        <v>117</v>
      </c>
      <c r="O108" s="17" t="s">
        <v>118</v>
      </c>
      <c r="P108" s="18" t="s">
        <v>133</v>
      </c>
      <c r="Q108" s="17" t="s">
        <v>121</v>
      </c>
      <c r="R108" s="1"/>
    </row>
    <row r="109" spans="1:18">
      <c r="A109" s="46" t="s">
        <v>869</v>
      </c>
      <c r="B109" s="17">
        <f t="shared" si="3"/>
        <v>108</v>
      </c>
      <c r="C109" s="17" t="s">
        <v>873</v>
      </c>
      <c r="D109" s="17" t="s">
        <v>95</v>
      </c>
      <c r="E109" s="16" t="s">
        <v>874</v>
      </c>
      <c r="F109" s="16" t="s">
        <v>875</v>
      </c>
      <c r="G109" s="17" t="s">
        <v>40</v>
      </c>
      <c r="H109" s="17" t="s">
        <v>16</v>
      </c>
      <c r="I109" s="6" t="s">
        <v>742</v>
      </c>
      <c r="J109" s="16" t="s">
        <v>18</v>
      </c>
      <c r="K109" s="17" t="s">
        <v>18</v>
      </c>
      <c r="L109" s="17" t="s">
        <v>18</v>
      </c>
      <c r="M109" s="17" t="s">
        <v>134</v>
      </c>
      <c r="N109" s="40"/>
      <c r="O109" s="17"/>
      <c r="P109" s="18"/>
      <c r="Q109" s="17" t="s">
        <v>121</v>
      </c>
      <c r="R109" s="1"/>
    </row>
    <row r="110" spans="1:18" ht="25.5">
      <c r="A110" s="17" t="s">
        <v>181</v>
      </c>
      <c r="B110" s="17">
        <f t="shared" si="3"/>
        <v>109</v>
      </c>
      <c r="C110" s="17" t="s">
        <v>36</v>
      </c>
      <c r="D110" s="17" t="s">
        <v>95</v>
      </c>
      <c r="E110" s="16" t="s">
        <v>553</v>
      </c>
      <c r="F110" s="16" t="s">
        <v>554</v>
      </c>
      <c r="G110" s="17" t="s">
        <v>48</v>
      </c>
      <c r="H110" s="17" t="s">
        <v>16</v>
      </c>
      <c r="I110" s="6" t="s">
        <v>72</v>
      </c>
      <c r="J110" s="16" t="s">
        <v>156</v>
      </c>
      <c r="K110" s="17"/>
      <c r="L110" s="17" t="s">
        <v>18</v>
      </c>
      <c r="M110" s="17" t="s">
        <v>134</v>
      </c>
      <c r="N110" s="40" t="s">
        <v>117</v>
      </c>
      <c r="O110" s="17" t="s">
        <v>118</v>
      </c>
      <c r="P110" s="17" t="s">
        <v>127</v>
      </c>
      <c r="Q110" s="17" t="s">
        <v>121</v>
      </c>
      <c r="R110" s="1"/>
    </row>
    <row r="111" spans="1:18" ht="25.5">
      <c r="A111" s="46" t="s">
        <v>777</v>
      </c>
      <c r="B111" s="17">
        <f t="shared" si="3"/>
        <v>110</v>
      </c>
      <c r="C111" s="17" t="s">
        <v>784</v>
      </c>
      <c r="D111" s="17" t="s">
        <v>98</v>
      </c>
      <c r="E111" s="16" t="s">
        <v>779</v>
      </c>
      <c r="F111" s="16" t="s">
        <v>781</v>
      </c>
      <c r="G111" s="17" t="s">
        <v>47</v>
      </c>
      <c r="H111" s="17" t="s">
        <v>16</v>
      </c>
      <c r="I111" s="6" t="s">
        <v>72</v>
      </c>
      <c r="J111" s="16" t="s">
        <v>156</v>
      </c>
      <c r="K111" s="17"/>
      <c r="L111" s="17" t="s">
        <v>18</v>
      </c>
      <c r="M111" s="17" t="s">
        <v>134</v>
      </c>
      <c r="N111" s="40" t="s">
        <v>117</v>
      </c>
      <c r="O111" s="17" t="s">
        <v>118</v>
      </c>
      <c r="P111" s="17" t="s">
        <v>127</v>
      </c>
      <c r="Q111" s="17" t="s">
        <v>121</v>
      </c>
      <c r="R111" s="1"/>
    </row>
    <row r="112" spans="1:18" ht="25.5">
      <c r="A112" s="46" t="s">
        <v>778</v>
      </c>
      <c r="B112" s="17">
        <f t="shared" si="3"/>
        <v>111</v>
      </c>
      <c r="C112" s="17" t="s">
        <v>783</v>
      </c>
      <c r="D112" s="17" t="s">
        <v>98</v>
      </c>
      <c r="E112" s="16" t="s">
        <v>780</v>
      </c>
      <c r="F112" s="16" t="s">
        <v>782</v>
      </c>
      <c r="G112" s="17" t="s">
        <v>47</v>
      </c>
      <c r="H112" s="17" t="s">
        <v>16</v>
      </c>
      <c r="I112" s="6" t="s">
        <v>72</v>
      </c>
      <c r="J112" s="16" t="s">
        <v>156</v>
      </c>
      <c r="K112" s="17"/>
      <c r="L112" s="17" t="s">
        <v>18</v>
      </c>
      <c r="M112" s="17" t="s">
        <v>134</v>
      </c>
      <c r="N112" s="40" t="s">
        <v>117</v>
      </c>
      <c r="O112" s="17" t="s">
        <v>118</v>
      </c>
      <c r="P112" s="17" t="s">
        <v>127</v>
      </c>
      <c r="Q112" s="17" t="s">
        <v>121</v>
      </c>
      <c r="R112" s="1"/>
    </row>
    <row r="113" spans="1:18" ht="25.5">
      <c r="A113" s="17" t="s">
        <v>182</v>
      </c>
      <c r="B113" s="17">
        <f t="shared" si="3"/>
        <v>112</v>
      </c>
      <c r="C113" s="17" t="s">
        <v>28</v>
      </c>
      <c r="D113" s="17" t="s">
        <v>98</v>
      </c>
      <c r="E113" s="16" t="s">
        <v>558</v>
      </c>
      <c r="F113" s="16" t="s">
        <v>555</v>
      </c>
      <c r="G113" s="17" t="s">
        <v>43</v>
      </c>
      <c r="H113" s="17" t="s">
        <v>16</v>
      </c>
      <c r="I113" s="6" t="s">
        <v>72</v>
      </c>
      <c r="J113" s="16" t="s">
        <v>156</v>
      </c>
      <c r="K113" s="17"/>
      <c r="L113" s="17" t="s">
        <v>18</v>
      </c>
      <c r="M113" s="17" t="s">
        <v>134</v>
      </c>
      <c r="N113" s="40" t="s">
        <v>117</v>
      </c>
      <c r="O113" s="17" t="s">
        <v>118</v>
      </c>
      <c r="P113" s="17" t="s">
        <v>126</v>
      </c>
      <c r="Q113" s="17" t="s">
        <v>121</v>
      </c>
      <c r="R113" s="1"/>
    </row>
    <row r="114" spans="1:18" ht="25.5">
      <c r="A114" s="17" t="s">
        <v>183</v>
      </c>
      <c r="B114" s="17">
        <f t="shared" si="3"/>
        <v>113</v>
      </c>
      <c r="C114" s="17" t="s">
        <v>27</v>
      </c>
      <c r="D114" s="17" t="s">
        <v>98</v>
      </c>
      <c r="E114" s="16" t="s">
        <v>557</v>
      </c>
      <c r="F114" s="16" t="s">
        <v>556</v>
      </c>
      <c r="G114" s="17" t="s">
        <v>43</v>
      </c>
      <c r="H114" s="17" t="s">
        <v>16</v>
      </c>
      <c r="I114" s="6" t="s">
        <v>72</v>
      </c>
      <c r="J114" s="16" t="s">
        <v>156</v>
      </c>
      <c r="K114" s="17"/>
      <c r="L114" s="17" t="s">
        <v>18</v>
      </c>
      <c r="M114" s="17" t="s">
        <v>134</v>
      </c>
      <c r="N114" s="40" t="s">
        <v>117</v>
      </c>
      <c r="O114" s="17" t="s">
        <v>118</v>
      </c>
      <c r="P114" s="17" t="s">
        <v>126</v>
      </c>
      <c r="Q114" s="17" t="s">
        <v>121</v>
      </c>
      <c r="R114" s="1"/>
    </row>
    <row r="115" spans="1:18" ht="25.5">
      <c r="A115" s="17" t="s">
        <v>184</v>
      </c>
      <c r="B115" s="17">
        <f t="shared" si="3"/>
        <v>114</v>
      </c>
      <c r="C115" s="17" t="s">
        <v>32</v>
      </c>
      <c r="D115" s="17" t="s">
        <v>98</v>
      </c>
      <c r="E115" s="16" t="s">
        <v>559</v>
      </c>
      <c r="F115" s="16" t="s">
        <v>560</v>
      </c>
      <c r="G115" s="17" t="s">
        <v>44</v>
      </c>
      <c r="H115" s="17" t="s">
        <v>16</v>
      </c>
      <c r="I115" s="6" t="s">
        <v>72</v>
      </c>
      <c r="J115" s="16" t="s">
        <v>156</v>
      </c>
      <c r="K115" s="17"/>
      <c r="L115" s="17" t="s">
        <v>18</v>
      </c>
      <c r="M115" s="17" t="s">
        <v>134</v>
      </c>
      <c r="N115" s="40" t="s">
        <v>117</v>
      </c>
      <c r="O115" s="17" t="s">
        <v>118</v>
      </c>
      <c r="P115" s="17" t="s">
        <v>126</v>
      </c>
      <c r="Q115" s="17" t="s">
        <v>121</v>
      </c>
      <c r="R115" s="1"/>
    </row>
    <row r="116" spans="1:18" ht="25.5">
      <c r="A116" s="17" t="s">
        <v>185</v>
      </c>
      <c r="B116" s="17">
        <f t="shared" si="3"/>
        <v>115</v>
      </c>
      <c r="C116" s="17" t="s">
        <v>31</v>
      </c>
      <c r="D116" s="17" t="s">
        <v>98</v>
      </c>
      <c r="E116" s="16" t="s">
        <v>563</v>
      </c>
      <c r="F116" s="16" t="s">
        <v>562</v>
      </c>
      <c r="G116" s="17" t="s">
        <v>44</v>
      </c>
      <c r="H116" s="17" t="s">
        <v>16</v>
      </c>
      <c r="I116" s="6" t="s">
        <v>72</v>
      </c>
      <c r="J116" s="16" t="s">
        <v>156</v>
      </c>
      <c r="K116" s="17"/>
      <c r="L116" s="17" t="s">
        <v>18</v>
      </c>
      <c r="M116" s="17" t="s">
        <v>134</v>
      </c>
      <c r="N116" s="40" t="s">
        <v>117</v>
      </c>
      <c r="O116" s="17" t="s">
        <v>118</v>
      </c>
      <c r="P116" s="17" t="s">
        <v>126</v>
      </c>
      <c r="Q116" s="17" t="s">
        <v>121</v>
      </c>
      <c r="R116" s="1"/>
    </row>
    <row r="117" spans="1:18" ht="25.5">
      <c r="A117" s="17" t="s">
        <v>186</v>
      </c>
      <c r="B117" s="17">
        <f t="shared" si="3"/>
        <v>116</v>
      </c>
      <c r="C117" s="17" t="s">
        <v>24</v>
      </c>
      <c r="D117" s="17" t="s">
        <v>98</v>
      </c>
      <c r="E117" s="16" t="s">
        <v>561</v>
      </c>
      <c r="F117" s="16" t="s">
        <v>564</v>
      </c>
      <c r="G117" s="17" t="s">
        <v>42</v>
      </c>
      <c r="H117" s="17" t="s">
        <v>16</v>
      </c>
      <c r="I117" s="6" t="s">
        <v>72</v>
      </c>
      <c r="J117" s="16" t="s">
        <v>156</v>
      </c>
      <c r="K117" s="17"/>
      <c r="L117" s="17" t="s">
        <v>18</v>
      </c>
      <c r="M117" s="17" t="s">
        <v>134</v>
      </c>
      <c r="N117" s="40" t="s">
        <v>117</v>
      </c>
      <c r="O117" s="17" t="s">
        <v>118</v>
      </c>
      <c r="P117" s="17" t="s">
        <v>126</v>
      </c>
      <c r="Q117" s="17" t="s">
        <v>121</v>
      </c>
      <c r="R117" s="1"/>
    </row>
    <row r="118" spans="1:18" ht="25.5">
      <c r="A118" s="17" t="s">
        <v>187</v>
      </c>
      <c r="B118" s="17">
        <f t="shared" si="3"/>
        <v>117</v>
      </c>
      <c r="C118" s="17" t="s">
        <v>23</v>
      </c>
      <c r="D118" s="17" t="s">
        <v>98</v>
      </c>
      <c r="E118" s="16" t="s">
        <v>565</v>
      </c>
      <c r="F118" s="16" t="s">
        <v>566</v>
      </c>
      <c r="G118" s="17" t="s">
        <v>42</v>
      </c>
      <c r="H118" s="17" t="s">
        <v>16</v>
      </c>
      <c r="I118" s="6" t="s">
        <v>72</v>
      </c>
      <c r="J118" s="16" t="s">
        <v>156</v>
      </c>
      <c r="K118" s="17"/>
      <c r="L118" s="17" t="s">
        <v>18</v>
      </c>
      <c r="M118" s="17" t="s">
        <v>134</v>
      </c>
      <c r="N118" s="40" t="s">
        <v>117</v>
      </c>
      <c r="O118" s="17" t="s">
        <v>118</v>
      </c>
      <c r="P118" s="17" t="s">
        <v>126</v>
      </c>
      <c r="Q118" s="17" t="s">
        <v>121</v>
      </c>
      <c r="R118" s="1"/>
    </row>
    <row r="119" spans="1:18" ht="25.5">
      <c r="A119" s="17" t="s">
        <v>188</v>
      </c>
      <c r="B119" s="17">
        <f t="shared" si="3"/>
        <v>118</v>
      </c>
      <c r="C119" s="17" t="s">
        <v>715</v>
      </c>
      <c r="D119" s="17" t="s">
        <v>98</v>
      </c>
      <c r="E119" s="16" t="s">
        <v>374</v>
      </c>
      <c r="F119" s="16" t="s">
        <v>142</v>
      </c>
      <c r="G119" s="17" t="s">
        <v>45</v>
      </c>
      <c r="H119" s="17" t="s">
        <v>16</v>
      </c>
      <c r="I119" s="6" t="s">
        <v>72</v>
      </c>
      <c r="J119" s="16" t="s">
        <v>156</v>
      </c>
      <c r="K119" s="17"/>
      <c r="L119" s="17" t="s">
        <v>18</v>
      </c>
      <c r="M119" s="17" t="s">
        <v>134</v>
      </c>
      <c r="N119" s="40" t="s">
        <v>117</v>
      </c>
      <c r="O119" s="17" t="s">
        <v>118</v>
      </c>
      <c r="P119" s="17" t="s">
        <v>126</v>
      </c>
      <c r="Q119" s="17" t="s">
        <v>121</v>
      </c>
      <c r="R119" s="1"/>
    </row>
    <row r="120" spans="1:18" ht="25.5">
      <c r="A120" s="17" t="s">
        <v>189</v>
      </c>
      <c r="B120" s="17">
        <f t="shared" si="3"/>
        <v>119</v>
      </c>
      <c r="C120" s="17" t="s">
        <v>716</v>
      </c>
      <c r="D120" s="17" t="s">
        <v>98</v>
      </c>
      <c r="E120" s="16" t="s">
        <v>375</v>
      </c>
      <c r="F120" s="16" t="s">
        <v>141</v>
      </c>
      <c r="G120" s="17" t="s">
        <v>45</v>
      </c>
      <c r="H120" s="17" t="s">
        <v>16</v>
      </c>
      <c r="I120" s="6" t="s">
        <v>72</v>
      </c>
      <c r="J120" s="16" t="s">
        <v>156</v>
      </c>
      <c r="K120" s="17"/>
      <c r="L120" s="17" t="s">
        <v>18</v>
      </c>
      <c r="M120" s="17" t="s">
        <v>134</v>
      </c>
      <c r="N120" s="40" t="s">
        <v>117</v>
      </c>
      <c r="O120" s="17" t="s">
        <v>118</v>
      </c>
      <c r="P120" s="17" t="s">
        <v>126</v>
      </c>
      <c r="Q120" s="17" t="s">
        <v>121</v>
      </c>
      <c r="R120" s="1"/>
    </row>
    <row r="121" spans="1:18" ht="25.5">
      <c r="A121" s="17" t="s">
        <v>190</v>
      </c>
      <c r="B121" s="17">
        <f t="shared" si="3"/>
        <v>120</v>
      </c>
      <c r="C121" s="17" t="s">
        <v>717</v>
      </c>
      <c r="D121" s="17" t="s">
        <v>98</v>
      </c>
      <c r="E121" s="16" t="s">
        <v>568</v>
      </c>
      <c r="F121" s="16" t="s">
        <v>569</v>
      </c>
      <c r="G121" s="17" t="s">
        <v>47</v>
      </c>
      <c r="H121" s="17" t="s">
        <v>16</v>
      </c>
      <c r="I121" s="6" t="s">
        <v>72</v>
      </c>
      <c r="J121" s="16" t="s">
        <v>156</v>
      </c>
      <c r="K121" s="17"/>
      <c r="L121" s="17" t="s">
        <v>18</v>
      </c>
      <c r="M121" s="17" t="s">
        <v>134</v>
      </c>
      <c r="N121" s="40" t="s">
        <v>117</v>
      </c>
      <c r="O121" s="17" t="s">
        <v>118</v>
      </c>
      <c r="P121" s="17" t="s">
        <v>126</v>
      </c>
      <c r="Q121" s="17" t="s">
        <v>121</v>
      </c>
      <c r="R121" s="1"/>
    </row>
    <row r="122" spans="1:18" ht="25.5">
      <c r="A122" s="17" t="s">
        <v>191</v>
      </c>
      <c r="B122" s="17">
        <f t="shared" si="3"/>
        <v>121</v>
      </c>
      <c r="C122" s="17" t="s">
        <v>718</v>
      </c>
      <c r="D122" s="17" t="s">
        <v>98</v>
      </c>
      <c r="E122" s="16" t="s">
        <v>567</v>
      </c>
      <c r="F122" s="16" t="s">
        <v>570</v>
      </c>
      <c r="G122" s="17" t="s">
        <v>47</v>
      </c>
      <c r="H122" s="17" t="s">
        <v>16</v>
      </c>
      <c r="I122" s="6" t="s">
        <v>72</v>
      </c>
      <c r="J122" s="16" t="s">
        <v>156</v>
      </c>
      <c r="K122" s="17"/>
      <c r="L122" s="17" t="s">
        <v>18</v>
      </c>
      <c r="M122" s="17" t="s">
        <v>134</v>
      </c>
      <c r="N122" s="40" t="s">
        <v>117</v>
      </c>
      <c r="O122" s="17" t="s">
        <v>118</v>
      </c>
      <c r="P122" s="17" t="s">
        <v>126</v>
      </c>
      <c r="Q122" s="17" t="s">
        <v>121</v>
      </c>
      <c r="R122" s="1"/>
    </row>
    <row r="123" spans="1:18" ht="25.5">
      <c r="A123" s="46" t="s">
        <v>349</v>
      </c>
      <c r="B123" s="17">
        <f t="shared" si="3"/>
        <v>122</v>
      </c>
      <c r="C123" s="17" t="s">
        <v>721</v>
      </c>
      <c r="D123" s="17" t="s">
        <v>96</v>
      </c>
      <c r="E123" s="16" t="s">
        <v>577</v>
      </c>
      <c r="F123" s="16" t="s">
        <v>573</v>
      </c>
      <c r="G123" s="18" t="s">
        <v>351</v>
      </c>
      <c r="H123" s="17" t="s">
        <v>16</v>
      </c>
      <c r="I123" s="6" t="s">
        <v>72</v>
      </c>
      <c r="J123" s="15" t="s">
        <v>18</v>
      </c>
      <c r="K123" s="18"/>
      <c r="L123" s="17" t="s">
        <v>18</v>
      </c>
      <c r="M123" s="17" t="s">
        <v>134</v>
      </c>
      <c r="N123" s="40" t="s">
        <v>117</v>
      </c>
      <c r="O123" s="17" t="s">
        <v>118</v>
      </c>
      <c r="P123" s="17" t="s">
        <v>127</v>
      </c>
      <c r="Q123" s="17" t="s">
        <v>121</v>
      </c>
      <c r="R123" s="1"/>
    </row>
    <row r="124" spans="1:18" ht="25.5">
      <c r="A124" s="45" t="s">
        <v>350</v>
      </c>
      <c r="B124" s="17">
        <f t="shared" si="3"/>
        <v>123</v>
      </c>
      <c r="C124" s="17" t="s">
        <v>720</v>
      </c>
      <c r="D124" s="17" t="s">
        <v>96</v>
      </c>
      <c r="E124" s="16" t="s">
        <v>576</v>
      </c>
      <c r="F124" s="16" t="s">
        <v>578</v>
      </c>
      <c r="G124" s="18" t="s">
        <v>351</v>
      </c>
      <c r="H124" s="17" t="s">
        <v>16</v>
      </c>
      <c r="I124" s="6" t="s">
        <v>72</v>
      </c>
      <c r="J124" s="15" t="s">
        <v>18</v>
      </c>
      <c r="K124" s="18"/>
      <c r="L124" s="17" t="s">
        <v>18</v>
      </c>
      <c r="M124" s="17" t="s">
        <v>134</v>
      </c>
      <c r="N124" s="40" t="s">
        <v>117</v>
      </c>
      <c r="O124" s="17" t="s">
        <v>118</v>
      </c>
      <c r="P124" s="17" t="s">
        <v>127</v>
      </c>
      <c r="Q124" s="17" t="s">
        <v>121</v>
      </c>
      <c r="R124" s="1"/>
    </row>
    <row r="125" spans="1:18" ht="25.5">
      <c r="A125" s="17" t="s">
        <v>192</v>
      </c>
      <c r="B125" s="17">
        <f t="shared" si="3"/>
        <v>124</v>
      </c>
      <c r="C125" s="17" t="s">
        <v>30</v>
      </c>
      <c r="D125" s="17" t="s">
        <v>96</v>
      </c>
      <c r="E125" s="16" t="s">
        <v>571</v>
      </c>
      <c r="F125" s="16" t="s">
        <v>419</v>
      </c>
      <c r="G125" s="17" t="s">
        <v>43</v>
      </c>
      <c r="H125" s="17" t="s">
        <v>16</v>
      </c>
      <c r="I125" s="6" t="s">
        <v>72</v>
      </c>
      <c r="J125" s="16" t="s">
        <v>156</v>
      </c>
      <c r="K125" s="17"/>
      <c r="L125" s="17" t="s">
        <v>18</v>
      </c>
      <c r="M125" s="17" t="s">
        <v>134</v>
      </c>
      <c r="N125" s="40" t="s">
        <v>117</v>
      </c>
      <c r="O125" s="17" t="s">
        <v>118</v>
      </c>
      <c r="P125" s="17" t="s">
        <v>127</v>
      </c>
      <c r="Q125" s="17" t="s">
        <v>121</v>
      </c>
      <c r="R125" s="1"/>
    </row>
    <row r="126" spans="1:18" ht="25.5">
      <c r="A126" s="17" t="s">
        <v>193</v>
      </c>
      <c r="B126" s="17">
        <f t="shared" si="3"/>
        <v>125</v>
      </c>
      <c r="C126" s="17" t="s">
        <v>29</v>
      </c>
      <c r="D126" s="17" t="s">
        <v>96</v>
      </c>
      <c r="E126" s="16" t="s">
        <v>572</v>
      </c>
      <c r="F126" s="16" t="s">
        <v>422</v>
      </c>
      <c r="G126" s="17" t="s">
        <v>43</v>
      </c>
      <c r="H126" s="17" t="s">
        <v>16</v>
      </c>
      <c r="I126" s="6" t="s">
        <v>72</v>
      </c>
      <c r="J126" s="16" t="s">
        <v>156</v>
      </c>
      <c r="K126" s="17"/>
      <c r="L126" s="17" t="s">
        <v>18</v>
      </c>
      <c r="M126" s="17" t="s">
        <v>134</v>
      </c>
      <c r="N126" s="40" t="s">
        <v>117</v>
      </c>
      <c r="O126" s="17" t="s">
        <v>118</v>
      </c>
      <c r="P126" s="17" t="s">
        <v>127</v>
      </c>
      <c r="Q126" s="17" t="s">
        <v>121</v>
      </c>
      <c r="R126" s="1"/>
    </row>
    <row r="127" spans="1:18" ht="25.5">
      <c r="A127" s="17" t="s">
        <v>194</v>
      </c>
      <c r="B127" s="17">
        <f t="shared" si="3"/>
        <v>126</v>
      </c>
      <c r="C127" s="17" t="s">
        <v>34</v>
      </c>
      <c r="D127" s="17" t="s">
        <v>96</v>
      </c>
      <c r="E127" s="16" t="s">
        <v>421</v>
      </c>
      <c r="F127" s="16" t="s">
        <v>420</v>
      </c>
      <c r="G127" s="17" t="s">
        <v>44</v>
      </c>
      <c r="H127" s="17" t="s">
        <v>16</v>
      </c>
      <c r="I127" s="6" t="s">
        <v>72</v>
      </c>
      <c r="J127" s="16" t="s">
        <v>156</v>
      </c>
      <c r="K127" s="17"/>
      <c r="L127" s="17" t="s">
        <v>18</v>
      </c>
      <c r="M127" s="17" t="s">
        <v>134</v>
      </c>
      <c r="N127" s="40" t="s">
        <v>117</v>
      </c>
      <c r="O127" s="17" t="s">
        <v>118</v>
      </c>
      <c r="P127" s="17" t="s">
        <v>127</v>
      </c>
      <c r="Q127" s="17" t="s">
        <v>121</v>
      </c>
      <c r="R127" s="1"/>
    </row>
    <row r="128" spans="1:18" ht="25.5">
      <c r="A128" s="17" t="s">
        <v>195</v>
      </c>
      <c r="B128" s="17">
        <f t="shared" si="3"/>
        <v>127</v>
      </c>
      <c r="C128" s="17" t="s">
        <v>33</v>
      </c>
      <c r="D128" s="17" t="s">
        <v>96</v>
      </c>
      <c r="E128" s="16" t="s">
        <v>423</v>
      </c>
      <c r="F128" s="16" t="s">
        <v>418</v>
      </c>
      <c r="G128" s="17" t="s">
        <v>44</v>
      </c>
      <c r="H128" s="17" t="s">
        <v>16</v>
      </c>
      <c r="I128" s="6" t="s">
        <v>72</v>
      </c>
      <c r="J128" s="16" t="s">
        <v>156</v>
      </c>
      <c r="K128" s="17"/>
      <c r="L128" s="17" t="s">
        <v>18</v>
      </c>
      <c r="M128" s="17" t="s">
        <v>134</v>
      </c>
      <c r="N128" s="40" t="s">
        <v>117</v>
      </c>
      <c r="O128" s="17" t="s">
        <v>118</v>
      </c>
      <c r="P128" s="17" t="s">
        <v>127</v>
      </c>
      <c r="Q128" s="17" t="s">
        <v>121</v>
      </c>
      <c r="R128" s="1"/>
    </row>
    <row r="129" spans="1:18" ht="25.5">
      <c r="A129" s="17" t="s">
        <v>196</v>
      </c>
      <c r="B129" s="17">
        <f t="shared" si="3"/>
        <v>128</v>
      </c>
      <c r="C129" s="17" t="s">
        <v>26</v>
      </c>
      <c r="D129" s="17" t="s">
        <v>96</v>
      </c>
      <c r="E129" s="16" t="s">
        <v>574</v>
      </c>
      <c r="F129" s="16" t="s">
        <v>575</v>
      </c>
      <c r="G129" s="17" t="s">
        <v>42</v>
      </c>
      <c r="H129" s="17" t="s">
        <v>16</v>
      </c>
      <c r="I129" s="6" t="s">
        <v>72</v>
      </c>
      <c r="J129" s="16" t="s">
        <v>156</v>
      </c>
      <c r="K129" s="17"/>
      <c r="L129" s="17" t="s">
        <v>18</v>
      </c>
      <c r="M129" s="17" t="s">
        <v>134</v>
      </c>
      <c r="N129" s="40" t="s">
        <v>117</v>
      </c>
      <c r="O129" s="17" t="s">
        <v>118</v>
      </c>
      <c r="P129" s="17" t="s">
        <v>127</v>
      </c>
      <c r="Q129" s="17" t="s">
        <v>121</v>
      </c>
      <c r="R129" s="1"/>
    </row>
    <row r="130" spans="1:18" ht="25.5">
      <c r="A130" s="17" t="s">
        <v>197</v>
      </c>
      <c r="B130" s="17">
        <f t="shared" si="3"/>
        <v>129</v>
      </c>
      <c r="C130" s="17" t="s">
        <v>25</v>
      </c>
      <c r="D130" s="17" t="s">
        <v>96</v>
      </c>
      <c r="E130" s="16" t="s">
        <v>579</v>
      </c>
      <c r="F130" s="16" t="s">
        <v>580</v>
      </c>
      <c r="G130" s="17" t="s">
        <v>42</v>
      </c>
      <c r="H130" s="17" t="s">
        <v>16</v>
      </c>
      <c r="I130" s="6" t="s">
        <v>72</v>
      </c>
      <c r="J130" s="16" t="s">
        <v>156</v>
      </c>
      <c r="K130" s="17"/>
      <c r="L130" s="17" t="s">
        <v>18</v>
      </c>
      <c r="M130" s="17" t="s">
        <v>134</v>
      </c>
      <c r="N130" s="40" t="s">
        <v>117</v>
      </c>
      <c r="O130" s="17" t="s">
        <v>118</v>
      </c>
      <c r="P130" s="17" t="s">
        <v>127</v>
      </c>
      <c r="Q130" s="17" t="s">
        <v>121</v>
      </c>
      <c r="R130" s="1"/>
    </row>
    <row r="131" spans="1:18" ht="25.5">
      <c r="A131" s="17" t="s">
        <v>288</v>
      </c>
      <c r="B131" s="17">
        <f t="shared" si="3"/>
        <v>130</v>
      </c>
      <c r="C131" s="17" t="s">
        <v>290</v>
      </c>
      <c r="D131" s="17" t="s">
        <v>96</v>
      </c>
      <c r="E131" s="16" t="s">
        <v>416</v>
      </c>
      <c r="F131" s="16" t="s">
        <v>417</v>
      </c>
      <c r="G131" s="17" t="s">
        <v>45</v>
      </c>
      <c r="H131" s="17" t="s">
        <v>16</v>
      </c>
      <c r="I131" s="6" t="s">
        <v>72</v>
      </c>
      <c r="J131" s="16" t="s">
        <v>156</v>
      </c>
      <c r="K131" s="17"/>
      <c r="L131" s="17" t="s">
        <v>18</v>
      </c>
      <c r="M131" s="17" t="s">
        <v>134</v>
      </c>
      <c r="N131" s="40" t="s">
        <v>117</v>
      </c>
      <c r="O131" s="17" t="s">
        <v>118</v>
      </c>
      <c r="P131" s="17" t="s">
        <v>127</v>
      </c>
      <c r="Q131" s="17" t="s">
        <v>121</v>
      </c>
      <c r="R131" s="1"/>
    </row>
    <row r="132" spans="1:18" ht="25.5">
      <c r="A132" s="17" t="s">
        <v>198</v>
      </c>
      <c r="B132" s="17">
        <f t="shared" si="3"/>
        <v>131</v>
      </c>
      <c r="C132" s="17" t="s">
        <v>291</v>
      </c>
      <c r="D132" s="17" t="s">
        <v>96</v>
      </c>
      <c r="E132" s="16" t="s">
        <v>414</v>
      </c>
      <c r="F132" s="16" t="s">
        <v>415</v>
      </c>
      <c r="G132" s="17" t="s">
        <v>45</v>
      </c>
      <c r="H132" s="17" t="s">
        <v>16</v>
      </c>
      <c r="I132" s="6" t="s">
        <v>72</v>
      </c>
      <c r="J132" s="16" t="s">
        <v>156</v>
      </c>
      <c r="K132" s="17"/>
      <c r="L132" s="17" t="s">
        <v>18</v>
      </c>
      <c r="M132" s="17" t="s">
        <v>134</v>
      </c>
      <c r="N132" s="40" t="s">
        <v>117</v>
      </c>
      <c r="O132" s="17" t="s">
        <v>118</v>
      </c>
      <c r="P132" s="17" t="s">
        <v>127</v>
      </c>
      <c r="Q132" s="17" t="s">
        <v>121</v>
      </c>
      <c r="R132" s="1"/>
    </row>
    <row r="133" spans="1:18" ht="25.5">
      <c r="A133" s="17" t="s">
        <v>289</v>
      </c>
      <c r="B133" s="17">
        <f t="shared" si="3"/>
        <v>132</v>
      </c>
      <c r="C133" s="17" t="s">
        <v>292</v>
      </c>
      <c r="D133" s="17" t="s">
        <v>96</v>
      </c>
      <c r="E133" s="16" t="s">
        <v>581</v>
      </c>
      <c r="F133" s="16" t="s">
        <v>582</v>
      </c>
      <c r="G133" s="17" t="s">
        <v>47</v>
      </c>
      <c r="H133" s="17" t="s">
        <v>16</v>
      </c>
      <c r="I133" s="6" t="s">
        <v>72</v>
      </c>
      <c r="J133" s="16" t="s">
        <v>156</v>
      </c>
      <c r="K133" s="17"/>
      <c r="L133" s="17" t="s">
        <v>18</v>
      </c>
      <c r="M133" s="17" t="s">
        <v>134</v>
      </c>
      <c r="N133" s="40" t="s">
        <v>117</v>
      </c>
      <c r="O133" s="17" t="s">
        <v>118</v>
      </c>
      <c r="P133" s="17" t="s">
        <v>127</v>
      </c>
      <c r="Q133" s="17" t="s">
        <v>121</v>
      </c>
      <c r="R133" s="1"/>
    </row>
    <row r="134" spans="1:18" ht="25.5">
      <c r="A134" s="17" t="s">
        <v>199</v>
      </c>
      <c r="B134" s="17">
        <f t="shared" ref="B134:B165" si="4">ROW()-1</f>
        <v>133</v>
      </c>
      <c r="C134" s="17" t="s">
        <v>293</v>
      </c>
      <c r="D134" s="17" t="s">
        <v>96</v>
      </c>
      <c r="E134" s="16" t="s">
        <v>583</v>
      </c>
      <c r="F134" s="16" t="s">
        <v>584</v>
      </c>
      <c r="G134" s="17" t="s">
        <v>47</v>
      </c>
      <c r="H134" s="17" t="s">
        <v>16</v>
      </c>
      <c r="I134" s="6" t="s">
        <v>72</v>
      </c>
      <c r="J134" s="16" t="s">
        <v>156</v>
      </c>
      <c r="K134" s="17"/>
      <c r="L134" s="17" t="s">
        <v>18</v>
      </c>
      <c r="M134" s="17" t="s">
        <v>134</v>
      </c>
      <c r="N134" s="40" t="s">
        <v>117</v>
      </c>
      <c r="O134" s="17" t="s">
        <v>118</v>
      </c>
      <c r="P134" s="17" t="s">
        <v>127</v>
      </c>
      <c r="Q134" s="17" t="s">
        <v>121</v>
      </c>
      <c r="R134" s="1"/>
    </row>
    <row r="135" spans="1:18" ht="25.5">
      <c r="A135" s="17" t="s">
        <v>200</v>
      </c>
      <c r="B135" s="17">
        <f t="shared" si="4"/>
        <v>134</v>
      </c>
      <c r="C135" s="17" t="s">
        <v>287</v>
      </c>
      <c r="D135" s="17" t="s">
        <v>96</v>
      </c>
      <c r="E135" s="16" t="s">
        <v>393</v>
      </c>
      <c r="F135" s="16" t="s">
        <v>109</v>
      </c>
      <c r="G135" s="17" t="s">
        <v>49</v>
      </c>
      <c r="H135" s="17" t="s">
        <v>16</v>
      </c>
      <c r="I135" s="6" t="s">
        <v>72</v>
      </c>
      <c r="J135" s="16" t="s">
        <v>156</v>
      </c>
      <c r="K135" s="17"/>
      <c r="L135" s="17" t="s">
        <v>18</v>
      </c>
      <c r="M135" s="17" t="s">
        <v>134</v>
      </c>
      <c r="N135" s="40" t="s">
        <v>117</v>
      </c>
      <c r="O135" s="17" t="s">
        <v>118</v>
      </c>
      <c r="P135" s="17" t="s">
        <v>127</v>
      </c>
      <c r="Q135" s="17" t="s">
        <v>121</v>
      </c>
      <c r="R135" s="1"/>
    </row>
    <row r="136" spans="1:18" ht="25.5">
      <c r="A136" s="17" t="s">
        <v>201</v>
      </c>
      <c r="B136" s="17">
        <f t="shared" si="4"/>
        <v>135</v>
      </c>
      <c r="C136" s="17" t="s">
        <v>35</v>
      </c>
      <c r="D136" s="17" t="s">
        <v>96</v>
      </c>
      <c r="E136" s="16" t="s">
        <v>394</v>
      </c>
      <c r="F136" s="16" t="s">
        <v>108</v>
      </c>
      <c r="G136" s="17" t="s">
        <v>49</v>
      </c>
      <c r="H136" s="17" t="s">
        <v>16</v>
      </c>
      <c r="I136" s="6" t="s">
        <v>72</v>
      </c>
      <c r="J136" s="16" t="s">
        <v>156</v>
      </c>
      <c r="K136" s="17"/>
      <c r="L136" s="17" t="s">
        <v>18</v>
      </c>
      <c r="M136" s="17" t="s">
        <v>134</v>
      </c>
      <c r="N136" s="40" t="s">
        <v>117</v>
      </c>
      <c r="O136" s="17" t="s">
        <v>118</v>
      </c>
      <c r="P136" s="17" t="s">
        <v>127</v>
      </c>
      <c r="Q136" s="17" t="s">
        <v>121</v>
      </c>
      <c r="R136" s="1"/>
    </row>
    <row r="137" spans="1:18" ht="25.5">
      <c r="A137" s="47" t="s">
        <v>450</v>
      </c>
      <c r="B137" s="17">
        <f t="shared" si="4"/>
        <v>136</v>
      </c>
      <c r="C137" s="31" t="s">
        <v>622</v>
      </c>
      <c r="D137" s="18" t="s">
        <v>95</v>
      </c>
      <c r="E137" s="32" t="s">
        <v>628</v>
      </c>
      <c r="F137" s="32" t="s">
        <v>631</v>
      </c>
      <c r="G137" s="17" t="s">
        <v>48</v>
      </c>
      <c r="H137" s="17" t="s">
        <v>16</v>
      </c>
      <c r="I137" s="6" t="s">
        <v>72</v>
      </c>
      <c r="J137" s="16" t="s">
        <v>156</v>
      </c>
      <c r="K137" s="17"/>
      <c r="L137" s="17" t="s">
        <v>18</v>
      </c>
      <c r="M137" s="17" t="s">
        <v>134</v>
      </c>
      <c r="N137" s="40" t="s">
        <v>117</v>
      </c>
      <c r="O137" s="17" t="s">
        <v>118</v>
      </c>
      <c r="P137" s="17" t="s">
        <v>127</v>
      </c>
      <c r="Q137" s="17" t="s">
        <v>121</v>
      </c>
      <c r="R137" s="1"/>
    </row>
    <row r="138" spans="1:18" ht="25.5">
      <c r="A138" s="46" t="s">
        <v>352</v>
      </c>
      <c r="B138" s="17">
        <f t="shared" si="4"/>
        <v>137</v>
      </c>
      <c r="C138" s="17" t="s">
        <v>719</v>
      </c>
      <c r="D138" s="17" t="s">
        <v>96</v>
      </c>
      <c r="E138" s="16" t="s">
        <v>383</v>
      </c>
      <c r="F138" s="16" t="s">
        <v>353</v>
      </c>
      <c r="G138" s="17"/>
      <c r="H138" s="17" t="s">
        <v>16</v>
      </c>
      <c r="I138" s="6" t="s">
        <v>72</v>
      </c>
      <c r="J138" s="16" t="s">
        <v>156</v>
      </c>
      <c r="K138" s="17"/>
      <c r="L138" s="17" t="s">
        <v>18</v>
      </c>
      <c r="M138" s="17" t="s">
        <v>134</v>
      </c>
      <c r="N138" s="40" t="s">
        <v>117</v>
      </c>
      <c r="O138" s="17" t="s">
        <v>118</v>
      </c>
      <c r="P138" s="17" t="s">
        <v>127</v>
      </c>
      <c r="Q138" s="17" t="s">
        <v>121</v>
      </c>
      <c r="R138" s="1"/>
    </row>
    <row r="139" spans="1:18">
      <c r="A139" s="45" t="s">
        <v>284</v>
      </c>
      <c r="B139" s="17">
        <f t="shared" si="4"/>
        <v>138</v>
      </c>
      <c r="C139" s="18" t="s">
        <v>282</v>
      </c>
      <c r="D139" s="18" t="s">
        <v>95</v>
      </c>
      <c r="E139" s="16" t="s">
        <v>659</v>
      </c>
      <c r="F139" s="15" t="s">
        <v>285</v>
      </c>
      <c r="G139" s="18" t="s">
        <v>48</v>
      </c>
      <c r="H139" s="18"/>
      <c r="I139" s="19" t="s">
        <v>72</v>
      </c>
      <c r="J139" s="15" t="s">
        <v>18</v>
      </c>
      <c r="K139" s="18"/>
      <c r="L139" s="18" t="s">
        <v>283</v>
      </c>
      <c r="M139" s="18" t="s">
        <v>134</v>
      </c>
      <c r="N139" s="40" t="s">
        <v>18</v>
      </c>
      <c r="O139" s="17" t="s">
        <v>18</v>
      </c>
      <c r="P139" s="17" t="s">
        <v>18</v>
      </c>
      <c r="Q139" s="17" t="s">
        <v>121</v>
      </c>
      <c r="R139" s="1"/>
    </row>
    <row r="140" spans="1:18" ht="25.5">
      <c r="A140" s="17" t="s">
        <v>202</v>
      </c>
      <c r="B140" s="17">
        <f t="shared" si="4"/>
        <v>139</v>
      </c>
      <c r="C140" s="17" t="s">
        <v>37</v>
      </c>
      <c r="D140" s="17" t="s">
        <v>95</v>
      </c>
      <c r="E140" s="16" t="s">
        <v>395</v>
      </c>
      <c r="F140" s="16" t="s">
        <v>585</v>
      </c>
      <c r="G140" s="17" t="s">
        <v>48</v>
      </c>
      <c r="H140" s="17" t="s">
        <v>16</v>
      </c>
      <c r="I140" s="6" t="s">
        <v>72</v>
      </c>
      <c r="J140" s="16" t="s">
        <v>156</v>
      </c>
      <c r="K140" s="17"/>
      <c r="L140" s="17" t="s">
        <v>18</v>
      </c>
      <c r="M140" s="17" t="s">
        <v>134</v>
      </c>
      <c r="N140" s="40" t="s">
        <v>117</v>
      </c>
      <c r="O140" s="17" t="s">
        <v>118</v>
      </c>
      <c r="P140" s="17" t="s">
        <v>127</v>
      </c>
      <c r="Q140" s="17" t="s">
        <v>121</v>
      </c>
    </row>
    <row r="141" spans="1:18" ht="25.5">
      <c r="A141" s="17" t="s">
        <v>203</v>
      </c>
      <c r="B141" s="17">
        <f t="shared" si="4"/>
        <v>140</v>
      </c>
      <c r="C141" s="17" t="s">
        <v>38</v>
      </c>
      <c r="D141" s="17" t="s">
        <v>95</v>
      </c>
      <c r="E141" s="16" t="s">
        <v>586</v>
      </c>
      <c r="F141" s="16" t="s">
        <v>587</v>
      </c>
      <c r="G141" s="17" t="s">
        <v>48</v>
      </c>
      <c r="H141" s="17" t="s">
        <v>16</v>
      </c>
      <c r="I141" s="6" t="s">
        <v>72</v>
      </c>
      <c r="J141" s="16" t="s">
        <v>156</v>
      </c>
      <c r="K141" s="17"/>
      <c r="L141" s="17" t="s">
        <v>18</v>
      </c>
      <c r="M141" s="17" t="s">
        <v>134</v>
      </c>
      <c r="N141" s="40" t="s">
        <v>117</v>
      </c>
      <c r="O141" s="17" t="s">
        <v>118</v>
      </c>
      <c r="P141" s="17" t="s">
        <v>127</v>
      </c>
      <c r="Q141" s="17" t="s">
        <v>121</v>
      </c>
    </row>
    <row r="142" spans="1:18" ht="25.5">
      <c r="A142" s="17" t="s">
        <v>246</v>
      </c>
      <c r="B142" s="17">
        <f t="shared" si="4"/>
        <v>141</v>
      </c>
      <c r="C142" s="17" t="s">
        <v>247</v>
      </c>
      <c r="D142" s="17" t="s">
        <v>95</v>
      </c>
      <c r="E142" s="16" t="s">
        <v>588</v>
      </c>
      <c r="F142" s="16" t="s">
        <v>589</v>
      </c>
      <c r="G142" s="17" t="s">
        <v>46</v>
      </c>
      <c r="H142" s="17" t="s">
        <v>16</v>
      </c>
      <c r="I142" s="6" t="s">
        <v>73</v>
      </c>
      <c r="J142" s="16" t="s">
        <v>157</v>
      </c>
      <c r="K142" s="17"/>
      <c r="L142" s="17" t="s">
        <v>18</v>
      </c>
      <c r="M142" s="17" t="s">
        <v>134</v>
      </c>
      <c r="N142" s="40" t="s">
        <v>117</v>
      </c>
      <c r="O142" s="17" t="s">
        <v>118</v>
      </c>
      <c r="P142" s="17" t="s">
        <v>120</v>
      </c>
      <c r="Q142" s="17" t="s">
        <v>121</v>
      </c>
    </row>
    <row r="143" spans="1:18" ht="25.5">
      <c r="A143" s="17" t="s">
        <v>294</v>
      </c>
      <c r="B143" s="17">
        <f t="shared" si="4"/>
        <v>142</v>
      </c>
      <c r="C143" s="17" t="s">
        <v>369</v>
      </c>
      <c r="D143" s="17" t="s">
        <v>97</v>
      </c>
      <c r="E143" s="16" t="s">
        <v>425</v>
      </c>
      <c r="F143" s="16" t="s">
        <v>368</v>
      </c>
      <c r="G143" s="17" t="s">
        <v>46</v>
      </c>
      <c r="H143" s="17" t="s">
        <v>16</v>
      </c>
      <c r="I143" s="6" t="s">
        <v>73</v>
      </c>
      <c r="J143" s="16" t="s">
        <v>157</v>
      </c>
      <c r="K143" s="17"/>
      <c r="L143" s="17" t="s">
        <v>18</v>
      </c>
      <c r="M143" s="17" t="s">
        <v>134</v>
      </c>
      <c r="N143" s="40" t="s">
        <v>117</v>
      </c>
      <c r="O143" s="17" t="s">
        <v>118</v>
      </c>
      <c r="P143" s="17" t="s">
        <v>120</v>
      </c>
      <c r="Q143" s="17" t="s">
        <v>121</v>
      </c>
    </row>
    <row r="144" spans="1:18" ht="25.5">
      <c r="A144" s="17" t="s">
        <v>204</v>
      </c>
      <c r="B144" s="17">
        <f t="shared" si="4"/>
        <v>143</v>
      </c>
      <c r="C144" s="17" t="s">
        <v>367</v>
      </c>
      <c r="D144" s="17" t="s">
        <v>97</v>
      </c>
      <c r="E144" s="16" t="s">
        <v>426</v>
      </c>
      <c r="F144" s="16" t="s">
        <v>366</v>
      </c>
      <c r="G144" s="17" t="s">
        <v>46</v>
      </c>
      <c r="H144" s="17" t="s">
        <v>16</v>
      </c>
      <c r="I144" s="6" t="s">
        <v>73</v>
      </c>
      <c r="J144" s="16" t="s">
        <v>157</v>
      </c>
      <c r="K144" s="17"/>
      <c r="L144" s="17" t="s">
        <v>18</v>
      </c>
      <c r="M144" s="17" t="s">
        <v>134</v>
      </c>
      <c r="N144" s="40" t="s">
        <v>117</v>
      </c>
      <c r="O144" s="17" t="s">
        <v>118</v>
      </c>
      <c r="P144" s="17" t="s">
        <v>120</v>
      </c>
      <c r="Q144" s="17" t="s">
        <v>121</v>
      </c>
    </row>
    <row r="145" spans="1:18" ht="25.5">
      <c r="A145" s="47" t="s">
        <v>472</v>
      </c>
      <c r="B145" s="17">
        <f t="shared" si="4"/>
        <v>144</v>
      </c>
      <c r="C145" s="31" t="s">
        <v>624</v>
      </c>
      <c r="D145" s="18" t="s">
        <v>95</v>
      </c>
      <c r="E145" s="32" t="s">
        <v>627</v>
      </c>
      <c r="F145" s="32" t="s">
        <v>638</v>
      </c>
      <c r="G145" s="17" t="s">
        <v>48</v>
      </c>
      <c r="H145" s="17" t="s">
        <v>16</v>
      </c>
      <c r="I145" s="6" t="s">
        <v>72</v>
      </c>
      <c r="J145" s="16" t="s">
        <v>156</v>
      </c>
      <c r="K145" s="17"/>
      <c r="L145" s="17" t="s">
        <v>18</v>
      </c>
      <c r="M145" s="17" t="s">
        <v>134</v>
      </c>
      <c r="N145" s="40" t="s">
        <v>117</v>
      </c>
      <c r="O145" s="17" t="s">
        <v>118</v>
      </c>
      <c r="P145" s="17" t="s">
        <v>127</v>
      </c>
      <c r="Q145" s="17" t="s">
        <v>121</v>
      </c>
    </row>
    <row r="146" spans="1:18" ht="25.5">
      <c r="A146" s="17" t="s">
        <v>205</v>
      </c>
      <c r="B146" s="17">
        <f t="shared" si="4"/>
        <v>145</v>
      </c>
      <c r="C146" s="17" t="s">
        <v>610</v>
      </c>
      <c r="D146" s="17" t="s">
        <v>95</v>
      </c>
      <c r="E146" s="16" t="s">
        <v>590</v>
      </c>
      <c r="F146" s="16" t="s">
        <v>591</v>
      </c>
      <c r="G146" s="17" t="s">
        <v>48</v>
      </c>
      <c r="H146" s="17" t="s">
        <v>16</v>
      </c>
      <c r="I146" s="6" t="s">
        <v>72</v>
      </c>
      <c r="J146" s="16" t="s">
        <v>156</v>
      </c>
      <c r="K146" s="17"/>
      <c r="L146" s="17" t="s">
        <v>18</v>
      </c>
      <c r="M146" s="17" t="s">
        <v>134</v>
      </c>
      <c r="N146" s="40" t="s">
        <v>117</v>
      </c>
      <c r="O146" s="17" t="s">
        <v>118</v>
      </c>
      <c r="P146" s="17" t="s">
        <v>127</v>
      </c>
      <c r="Q146" s="17" t="s">
        <v>121</v>
      </c>
      <c r="R146" s="1"/>
    </row>
    <row r="147" spans="1:18" ht="25.5">
      <c r="A147" s="17" t="s">
        <v>206</v>
      </c>
      <c r="B147" s="17">
        <f t="shared" si="4"/>
        <v>146</v>
      </c>
      <c r="C147" s="17" t="s">
        <v>611</v>
      </c>
      <c r="D147" s="17" t="s">
        <v>95</v>
      </c>
      <c r="E147" s="16" t="s">
        <v>592</v>
      </c>
      <c r="F147" s="16" t="s">
        <v>593</v>
      </c>
      <c r="G147" s="17" t="s">
        <v>48</v>
      </c>
      <c r="H147" s="17" t="s">
        <v>16</v>
      </c>
      <c r="I147" s="6" t="s">
        <v>72</v>
      </c>
      <c r="J147" s="16" t="s">
        <v>156</v>
      </c>
      <c r="K147" s="17"/>
      <c r="L147" s="17" t="s">
        <v>18</v>
      </c>
      <c r="M147" s="17" t="s">
        <v>134</v>
      </c>
      <c r="N147" s="40" t="s">
        <v>117</v>
      </c>
      <c r="O147" s="17" t="s">
        <v>118</v>
      </c>
      <c r="P147" s="17" t="s">
        <v>127</v>
      </c>
      <c r="Q147" s="17" t="s">
        <v>121</v>
      </c>
      <c r="R147" s="1"/>
    </row>
    <row r="148" spans="1:18" ht="25.5">
      <c r="A148" s="47" t="s">
        <v>470</v>
      </c>
      <c r="B148" s="17">
        <f t="shared" si="4"/>
        <v>147</v>
      </c>
      <c r="C148" s="31" t="s">
        <v>731</v>
      </c>
      <c r="D148" s="18" t="s">
        <v>95</v>
      </c>
      <c r="E148" s="32" t="s">
        <v>634</v>
      </c>
      <c r="F148" s="32" t="s">
        <v>633</v>
      </c>
      <c r="G148" s="17" t="s">
        <v>48</v>
      </c>
      <c r="H148" s="17" t="s">
        <v>16</v>
      </c>
      <c r="I148" s="19" t="s">
        <v>72</v>
      </c>
      <c r="J148" s="16" t="s">
        <v>156</v>
      </c>
      <c r="K148" s="18"/>
      <c r="L148" s="17" t="s">
        <v>18</v>
      </c>
      <c r="M148" s="17" t="s">
        <v>134</v>
      </c>
      <c r="N148" s="40" t="s">
        <v>117</v>
      </c>
      <c r="O148" s="17" t="s">
        <v>118</v>
      </c>
      <c r="P148" s="17" t="s">
        <v>127</v>
      </c>
      <c r="Q148" s="17" t="s">
        <v>121</v>
      </c>
      <c r="R148" s="1"/>
    </row>
    <row r="149" spans="1:18" ht="25.5">
      <c r="A149" s="47" t="s">
        <v>729</v>
      </c>
      <c r="B149" s="17">
        <f t="shared" si="4"/>
        <v>148</v>
      </c>
      <c r="C149" s="31" t="s">
        <v>730</v>
      </c>
      <c r="D149" s="18" t="s">
        <v>95</v>
      </c>
      <c r="E149" s="32" t="s">
        <v>636</v>
      </c>
      <c r="F149" s="32" t="s">
        <v>635</v>
      </c>
      <c r="G149" s="17" t="s">
        <v>48</v>
      </c>
      <c r="H149" s="17" t="s">
        <v>16</v>
      </c>
      <c r="I149" s="6" t="s">
        <v>72</v>
      </c>
      <c r="J149" s="16" t="s">
        <v>156</v>
      </c>
      <c r="K149" s="17"/>
      <c r="L149" s="17" t="s">
        <v>18</v>
      </c>
      <c r="M149" s="17" t="s">
        <v>134</v>
      </c>
      <c r="N149" s="40" t="s">
        <v>117</v>
      </c>
      <c r="O149" s="17" t="s">
        <v>118</v>
      </c>
      <c r="P149" s="17" t="s">
        <v>120</v>
      </c>
      <c r="Q149" s="17" t="s">
        <v>121</v>
      </c>
      <c r="R149" s="1"/>
    </row>
    <row r="150" spans="1:18" ht="25.5">
      <c r="A150" s="45" t="s">
        <v>322</v>
      </c>
      <c r="B150" s="17">
        <f t="shared" si="4"/>
        <v>149</v>
      </c>
      <c r="C150" s="18" t="s">
        <v>324</v>
      </c>
      <c r="D150" s="18" t="s">
        <v>95</v>
      </c>
      <c r="E150" s="15" t="s">
        <v>376</v>
      </c>
      <c r="F150" s="15" t="s">
        <v>327</v>
      </c>
      <c r="G150" s="17" t="s">
        <v>48</v>
      </c>
      <c r="H150" s="17" t="s">
        <v>16</v>
      </c>
      <c r="I150" s="6" t="s">
        <v>73</v>
      </c>
      <c r="J150" s="16" t="s">
        <v>157</v>
      </c>
      <c r="K150" s="18"/>
      <c r="L150" s="17" t="s">
        <v>18</v>
      </c>
      <c r="M150" s="17" t="s">
        <v>134</v>
      </c>
      <c r="N150" s="40" t="s">
        <v>117</v>
      </c>
      <c r="O150" s="17" t="s">
        <v>118</v>
      </c>
      <c r="P150" s="17" t="s">
        <v>120</v>
      </c>
      <c r="Q150" s="17" t="s">
        <v>121</v>
      </c>
      <c r="R150" s="1"/>
    </row>
    <row r="151" spans="1:18" ht="25.5">
      <c r="A151" s="45" t="s">
        <v>323</v>
      </c>
      <c r="B151" s="17">
        <f t="shared" si="4"/>
        <v>150</v>
      </c>
      <c r="C151" s="18" t="s">
        <v>325</v>
      </c>
      <c r="D151" s="18" t="s">
        <v>95</v>
      </c>
      <c r="E151" s="15" t="s">
        <v>377</v>
      </c>
      <c r="F151" s="15" t="s">
        <v>326</v>
      </c>
      <c r="G151" s="17" t="s">
        <v>48</v>
      </c>
      <c r="H151" s="17" t="s">
        <v>16</v>
      </c>
      <c r="I151" s="6" t="s">
        <v>73</v>
      </c>
      <c r="J151" s="16" t="s">
        <v>157</v>
      </c>
      <c r="K151" s="18"/>
      <c r="L151" s="17" t="s">
        <v>18</v>
      </c>
      <c r="M151" s="17" t="s">
        <v>134</v>
      </c>
      <c r="N151" s="40" t="s">
        <v>117</v>
      </c>
      <c r="O151" s="17" t="s">
        <v>118</v>
      </c>
      <c r="P151" s="17" t="s">
        <v>120</v>
      </c>
      <c r="Q151" s="17" t="s">
        <v>121</v>
      </c>
      <c r="R151" s="1"/>
    </row>
    <row r="152" spans="1:18" ht="25.5">
      <c r="A152" s="54" t="s">
        <v>667</v>
      </c>
      <c r="B152" s="17">
        <f t="shared" si="4"/>
        <v>151</v>
      </c>
      <c r="C152" s="38" t="s">
        <v>670</v>
      </c>
      <c r="D152" s="17" t="s">
        <v>98</v>
      </c>
      <c r="E152" s="16" t="s">
        <v>743</v>
      </c>
      <c r="F152" s="16" t="s">
        <v>745</v>
      </c>
      <c r="G152" s="17" t="s">
        <v>48</v>
      </c>
      <c r="H152" s="17" t="s">
        <v>16</v>
      </c>
      <c r="I152" s="6" t="s">
        <v>72</v>
      </c>
      <c r="J152" s="17" t="s">
        <v>18</v>
      </c>
      <c r="K152" s="38"/>
      <c r="L152" s="17" t="s">
        <v>18</v>
      </c>
      <c r="M152" s="17" t="s">
        <v>134</v>
      </c>
      <c r="N152" s="40" t="s">
        <v>117</v>
      </c>
      <c r="O152" s="17" t="s">
        <v>118</v>
      </c>
      <c r="P152" s="31" t="s">
        <v>126</v>
      </c>
      <c r="Q152" s="17" t="s">
        <v>121</v>
      </c>
      <c r="R152" s="1"/>
    </row>
    <row r="153" spans="1:18" ht="25.5">
      <c r="A153" s="54" t="s">
        <v>668</v>
      </c>
      <c r="B153" s="17">
        <f t="shared" si="4"/>
        <v>152</v>
      </c>
      <c r="C153" s="38" t="s">
        <v>669</v>
      </c>
      <c r="D153" s="17" t="s">
        <v>98</v>
      </c>
      <c r="E153" s="16" t="s">
        <v>744</v>
      </c>
      <c r="F153" s="16" t="s">
        <v>746</v>
      </c>
      <c r="G153" s="17" t="s">
        <v>48</v>
      </c>
      <c r="H153" s="17" t="s">
        <v>16</v>
      </c>
      <c r="I153" s="6" t="s">
        <v>72</v>
      </c>
      <c r="J153" s="17" t="s">
        <v>18</v>
      </c>
      <c r="K153" s="38"/>
      <c r="L153" s="17" t="s">
        <v>18</v>
      </c>
      <c r="M153" s="17" t="s">
        <v>134</v>
      </c>
      <c r="N153" s="40" t="s">
        <v>117</v>
      </c>
      <c r="O153" s="17" t="s">
        <v>118</v>
      </c>
      <c r="P153" s="31" t="s">
        <v>126</v>
      </c>
      <c r="Q153" s="17" t="s">
        <v>121</v>
      </c>
      <c r="R153" s="1"/>
    </row>
    <row r="154" spans="1:18" ht="25.5">
      <c r="A154" s="54" t="s">
        <v>671</v>
      </c>
      <c r="B154" s="17">
        <f t="shared" si="4"/>
        <v>153</v>
      </c>
      <c r="C154" s="38" t="s">
        <v>672</v>
      </c>
      <c r="D154" s="17" t="s">
        <v>98</v>
      </c>
      <c r="E154" s="16" t="s">
        <v>674</v>
      </c>
      <c r="F154" s="16" t="s">
        <v>675</v>
      </c>
      <c r="G154" s="17" t="s">
        <v>48</v>
      </c>
      <c r="H154" s="17" t="s">
        <v>16</v>
      </c>
      <c r="I154" s="6" t="s">
        <v>72</v>
      </c>
      <c r="J154" s="17" t="s">
        <v>18</v>
      </c>
      <c r="K154" s="38"/>
      <c r="L154" s="17" t="s">
        <v>18</v>
      </c>
      <c r="M154" s="17" t="s">
        <v>134</v>
      </c>
      <c r="N154" s="40" t="s">
        <v>117</v>
      </c>
      <c r="O154" s="17" t="s">
        <v>118</v>
      </c>
      <c r="P154" s="31" t="s">
        <v>126</v>
      </c>
      <c r="Q154" s="17" t="s">
        <v>121</v>
      </c>
    </row>
    <row r="155" spans="1:18" ht="25.5">
      <c r="A155" s="47" t="s">
        <v>680</v>
      </c>
      <c r="B155" s="17">
        <f t="shared" si="4"/>
        <v>154</v>
      </c>
      <c r="C155" s="31" t="s">
        <v>681</v>
      </c>
      <c r="D155" s="17" t="s">
        <v>98</v>
      </c>
      <c r="E155" s="16" t="s">
        <v>705</v>
      </c>
      <c r="F155" s="16" t="s">
        <v>706</v>
      </c>
      <c r="G155" s="17" t="s">
        <v>48</v>
      </c>
      <c r="H155" s="17" t="s">
        <v>16</v>
      </c>
      <c r="I155" s="6" t="s">
        <v>72</v>
      </c>
      <c r="J155" s="17" t="s">
        <v>18</v>
      </c>
      <c r="K155" s="38"/>
      <c r="L155" s="17" t="s">
        <v>18</v>
      </c>
      <c r="M155" s="17" t="s">
        <v>134</v>
      </c>
      <c r="N155" s="40" t="s">
        <v>117</v>
      </c>
      <c r="O155" s="17" t="s">
        <v>118</v>
      </c>
      <c r="P155" s="31" t="s">
        <v>126</v>
      </c>
      <c r="Q155" s="17" t="s">
        <v>121</v>
      </c>
    </row>
    <row r="156" spans="1:18" ht="25.5">
      <c r="A156" s="46" t="s">
        <v>684</v>
      </c>
      <c r="B156" s="17">
        <f t="shared" si="4"/>
        <v>155</v>
      </c>
      <c r="C156" s="17" t="s">
        <v>685</v>
      </c>
      <c r="D156" s="18" t="s">
        <v>95</v>
      </c>
      <c r="E156" s="16" t="s">
        <v>686</v>
      </c>
      <c r="F156" s="16" t="s">
        <v>687</v>
      </c>
      <c r="G156" s="17" t="s">
        <v>48</v>
      </c>
      <c r="H156" s="17" t="s">
        <v>16</v>
      </c>
      <c r="I156" s="6" t="s">
        <v>73</v>
      </c>
      <c r="J156" s="16" t="s">
        <v>18</v>
      </c>
      <c r="K156" s="17"/>
      <c r="L156" s="17" t="s">
        <v>18</v>
      </c>
      <c r="M156" s="17" t="s">
        <v>134</v>
      </c>
      <c r="N156" s="40" t="s">
        <v>117</v>
      </c>
      <c r="O156" s="17" t="s">
        <v>118</v>
      </c>
      <c r="P156" s="31" t="s">
        <v>126</v>
      </c>
      <c r="Q156" s="17" t="s">
        <v>121</v>
      </c>
      <c r="R156" s="1"/>
    </row>
    <row r="157" spans="1:18" ht="25.5">
      <c r="A157" s="47" t="s">
        <v>471</v>
      </c>
      <c r="B157" s="17">
        <f t="shared" si="4"/>
        <v>156</v>
      </c>
      <c r="C157" s="31" t="s">
        <v>623</v>
      </c>
      <c r="D157" s="18" t="s">
        <v>95</v>
      </c>
      <c r="E157" s="32" t="s">
        <v>632</v>
      </c>
      <c r="F157" s="32" t="s">
        <v>637</v>
      </c>
      <c r="G157" s="17" t="s">
        <v>48</v>
      </c>
      <c r="H157" s="17" t="s">
        <v>16</v>
      </c>
      <c r="I157" s="6" t="s">
        <v>72</v>
      </c>
      <c r="J157" s="16" t="s">
        <v>156</v>
      </c>
      <c r="K157" s="17"/>
      <c r="L157" s="17" t="s">
        <v>18</v>
      </c>
      <c r="M157" s="17" t="s">
        <v>134</v>
      </c>
      <c r="N157" s="40" t="s">
        <v>117</v>
      </c>
      <c r="O157" s="17" t="s">
        <v>118</v>
      </c>
      <c r="P157" s="17" t="s">
        <v>127</v>
      </c>
      <c r="Q157" s="17" t="s">
        <v>121</v>
      </c>
      <c r="R157" s="1"/>
    </row>
    <row r="158" spans="1:18" ht="25.5">
      <c r="A158" s="45" t="s">
        <v>207</v>
      </c>
      <c r="B158" s="17">
        <f t="shared" si="4"/>
        <v>157</v>
      </c>
      <c r="C158" s="18" t="s">
        <v>612</v>
      </c>
      <c r="D158" s="18" t="s">
        <v>95</v>
      </c>
      <c r="E158" s="16" t="s">
        <v>596</v>
      </c>
      <c r="F158" s="16" t="s">
        <v>597</v>
      </c>
      <c r="G158" s="17" t="s">
        <v>48</v>
      </c>
      <c r="H158" s="17" t="s">
        <v>16</v>
      </c>
      <c r="I158" s="6" t="s">
        <v>72</v>
      </c>
      <c r="J158" s="16" t="s">
        <v>156</v>
      </c>
      <c r="K158" s="17"/>
      <c r="L158" s="17" t="s">
        <v>160</v>
      </c>
      <c r="M158" s="17" t="s">
        <v>134</v>
      </c>
      <c r="N158" s="40" t="s">
        <v>117</v>
      </c>
      <c r="O158" s="17" t="s">
        <v>118</v>
      </c>
      <c r="P158" s="17" t="s">
        <v>127</v>
      </c>
      <c r="Q158" s="17" t="s">
        <v>121</v>
      </c>
      <c r="R158" s="1"/>
    </row>
    <row r="159" spans="1:18" ht="25.5">
      <c r="A159" s="46" t="s">
        <v>229</v>
      </c>
      <c r="B159" s="17">
        <f t="shared" si="4"/>
        <v>158</v>
      </c>
      <c r="C159" s="18" t="s">
        <v>215</v>
      </c>
      <c r="D159" s="18" t="s">
        <v>95</v>
      </c>
      <c r="E159" s="15" t="s">
        <v>396</v>
      </c>
      <c r="F159" s="15" t="s">
        <v>220</v>
      </c>
      <c r="G159" s="17" t="s">
        <v>48</v>
      </c>
      <c r="H159" s="17" t="s">
        <v>16</v>
      </c>
      <c r="I159" s="19" t="s">
        <v>72</v>
      </c>
      <c r="J159" s="16" t="s">
        <v>156</v>
      </c>
      <c r="K159" s="18"/>
      <c r="L159" s="18" t="s">
        <v>18</v>
      </c>
      <c r="M159" s="17" t="s">
        <v>134</v>
      </c>
      <c r="N159" s="40" t="s">
        <v>117</v>
      </c>
      <c r="O159" s="17" t="s">
        <v>118</v>
      </c>
      <c r="P159" s="17" t="s">
        <v>127</v>
      </c>
      <c r="Q159" s="17" t="s">
        <v>121</v>
      </c>
      <c r="R159" s="1"/>
    </row>
    <row r="160" spans="1:18" ht="25.5">
      <c r="A160" s="46" t="s">
        <v>230</v>
      </c>
      <c r="B160" s="17">
        <f t="shared" si="4"/>
        <v>159</v>
      </c>
      <c r="C160" s="18" t="s">
        <v>216</v>
      </c>
      <c r="D160" s="18" t="s">
        <v>95</v>
      </c>
      <c r="E160" s="15" t="s">
        <v>397</v>
      </c>
      <c r="F160" s="15" t="s">
        <v>219</v>
      </c>
      <c r="G160" s="17" t="s">
        <v>48</v>
      </c>
      <c r="H160" s="17" t="s">
        <v>16</v>
      </c>
      <c r="I160" s="19" t="s">
        <v>72</v>
      </c>
      <c r="J160" s="16" t="s">
        <v>156</v>
      </c>
      <c r="K160" s="18"/>
      <c r="L160" s="18" t="s">
        <v>18</v>
      </c>
      <c r="M160" s="17" t="s">
        <v>134</v>
      </c>
      <c r="N160" s="40" t="s">
        <v>117</v>
      </c>
      <c r="O160" s="17" t="s">
        <v>118</v>
      </c>
      <c r="P160" s="17" t="s">
        <v>127</v>
      </c>
      <c r="Q160" s="17" t="s">
        <v>121</v>
      </c>
    </row>
    <row r="161" spans="1:18" ht="25.5">
      <c r="A161" s="46" t="s">
        <v>231</v>
      </c>
      <c r="B161" s="17">
        <f t="shared" si="4"/>
        <v>160</v>
      </c>
      <c r="C161" s="18" t="s">
        <v>217</v>
      </c>
      <c r="D161" s="18" t="s">
        <v>95</v>
      </c>
      <c r="E161" s="15" t="s">
        <v>398</v>
      </c>
      <c r="F161" s="15" t="s">
        <v>221</v>
      </c>
      <c r="G161" s="17" t="s">
        <v>48</v>
      </c>
      <c r="H161" s="17" t="s">
        <v>16</v>
      </c>
      <c r="I161" s="19" t="s">
        <v>72</v>
      </c>
      <c r="J161" s="16" t="s">
        <v>156</v>
      </c>
      <c r="K161" s="18"/>
      <c r="L161" s="18" t="s">
        <v>18</v>
      </c>
      <c r="M161" s="17" t="s">
        <v>134</v>
      </c>
      <c r="N161" s="40" t="s">
        <v>117</v>
      </c>
      <c r="O161" s="17" t="s">
        <v>118</v>
      </c>
      <c r="P161" s="17" t="s">
        <v>127</v>
      </c>
      <c r="Q161" s="17" t="s">
        <v>121</v>
      </c>
    </row>
    <row r="162" spans="1:18" ht="25.5">
      <c r="A162" s="46" t="s">
        <v>232</v>
      </c>
      <c r="B162" s="17">
        <f t="shared" si="4"/>
        <v>161</v>
      </c>
      <c r="C162" s="18" t="s">
        <v>218</v>
      </c>
      <c r="D162" s="18" t="s">
        <v>95</v>
      </c>
      <c r="E162" s="15" t="s">
        <v>399</v>
      </c>
      <c r="F162" s="15" t="s">
        <v>222</v>
      </c>
      <c r="G162" s="17" t="s">
        <v>48</v>
      </c>
      <c r="H162" s="17" t="s">
        <v>16</v>
      </c>
      <c r="I162" s="19" t="s">
        <v>72</v>
      </c>
      <c r="J162" s="16" t="s">
        <v>156</v>
      </c>
      <c r="K162" s="18"/>
      <c r="L162" s="18" t="s">
        <v>18</v>
      </c>
      <c r="M162" s="17" t="s">
        <v>134</v>
      </c>
      <c r="N162" s="40" t="s">
        <v>117</v>
      </c>
      <c r="O162" s="17" t="s">
        <v>118</v>
      </c>
      <c r="P162" s="17" t="s">
        <v>127</v>
      </c>
      <c r="Q162" s="17" t="s">
        <v>121</v>
      </c>
    </row>
    <row r="163" spans="1:18" ht="25.5">
      <c r="A163" s="46" t="s">
        <v>233</v>
      </c>
      <c r="B163" s="17">
        <f t="shared" si="4"/>
        <v>162</v>
      </c>
      <c r="C163" s="18" t="s">
        <v>214</v>
      </c>
      <c r="D163" s="18" t="s">
        <v>95</v>
      </c>
      <c r="E163" s="15" t="s">
        <v>400</v>
      </c>
      <c r="F163" s="15" t="s">
        <v>223</v>
      </c>
      <c r="G163" s="17" t="s">
        <v>48</v>
      </c>
      <c r="H163" s="17" t="s">
        <v>16</v>
      </c>
      <c r="I163" s="19" t="s">
        <v>72</v>
      </c>
      <c r="J163" s="16" t="s">
        <v>156</v>
      </c>
      <c r="K163" s="18"/>
      <c r="L163" s="18" t="s">
        <v>18</v>
      </c>
      <c r="M163" s="17" t="s">
        <v>134</v>
      </c>
      <c r="N163" s="40" t="s">
        <v>117</v>
      </c>
      <c r="O163" s="17" t="s">
        <v>118</v>
      </c>
      <c r="P163" s="17" t="s">
        <v>127</v>
      </c>
      <c r="Q163" s="17" t="s">
        <v>121</v>
      </c>
      <c r="R163" s="1"/>
    </row>
    <row r="164" spans="1:18" ht="25.5">
      <c r="A164" s="47" t="s">
        <v>474</v>
      </c>
      <c r="B164" s="17">
        <f t="shared" si="4"/>
        <v>163</v>
      </c>
      <c r="C164" s="31" t="s">
        <v>626</v>
      </c>
      <c r="D164" s="18" t="s">
        <v>95</v>
      </c>
      <c r="E164" s="32" t="s">
        <v>630</v>
      </c>
      <c r="F164" s="32" t="s">
        <v>640</v>
      </c>
      <c r="G164" s="17" t="s">
        <v>48</v>
      </c>
      <c r="H164" s="17" t="s">
        <v>16</v>
      </c>
      <c r="I164" s="6" t="s">
        <v>72</v>
      </c>
      <c r="J164" s="16" t="s">
        <v>156</v>
      </c>
      <c r="K164" s="17"/>
      <c r="L164" s="17" t="s">
        <v>18</v>
      </c>
      <c r="M164" s="17" t="s">
        <v>134</v>
      </c>
      <c r="N164" s="40" t="s">
        <v>117</v>
      </c>
      <c r="O164" s="17" t="s">
        <v>118</v>
      </c>
      <c r="P164" s="17" t="s">
        <v>120</v>
      </c>
      <c r="Q164" s="17" t="s">
        <v>121</v>
      </c>
      <c r="R164" s="1"/>
    </row>
    <row r="165" spans="1:18" ht="25.5">
      <c r="A165" s="47" t="s">
        <v>473</v>
      </c>
      <c r="B165" s="17">
        <f t="shared" si="4"/>
        <v>164</v>
      </c>
      <c r="C165" s="31" t="s">
        <v>625</v>
      </c>
      <c r="D165" s="18" t="s">
        <v>95</v>
      </c>
      <c r="E165" s="32" t="s">
        <v>629</v>
      </c>
      <c r="F165" s="32" t="s">
        <v>639</v>
      </c>
      <c r="G165" s="17" t="s">
        <v>48</v>
      </c>
      <c r="H165" s="17" t="s">
        <v>16</v>
      </c>
      <c r="I165" s="19" t="s">
        <v>72</v>
      </c>
      <c r="J165" s="16" t="s">
        <v>156</v>
      </c>
      <c r="K165" s="18"/>
      <c r="L165" s="17" t="s">
        <v>18</v>
      </c>
      <c r="M165" s="17" t="s">
        <v>134</v>
      </c>
      <c r="N165" s="40" t="s">
        <v>117</v>
      </c>
      <c r="O165" s="17" t="s">
        <v>118</v>
      </c>
      <c r="P165" s="17" t="s">
        <v>127</v>
      </c>
      <c r="Q165" s="17" t="s">
        <v>121</v>
      </c>
      <c r="R165" s="1"/>
    </row>
    <row r="166" spans="1:18" ht="25.5">
      <c r="A166" s="47" t="s">
        <v>747</v>
      </c>
      <c r="B166" s="17">
        <f t="shared" ref="B166:B189" si="5">ROW()-1</f>
        <v>165</v>
      </c>
      <c r="C166" s="31" t="s">
        <v>749</v>
      </c>
      <c r="D166" s="17" t="s">
        <v>96</v>
      </c>
      <c r="E166" s="16" t="s">
        <v>751</v>
      </c>
      <c r="F166" s="16" t="s">
        <v>753</v>
      </c>
      <c r="G166" s="17" t="s">
        <v>48</v>
      </c>
      <c r="H166" s="17" t="s">
        <v>16</v>
      </c>
      <c r="I166" s="6" t="s">
        <v>72</v>
      </c>
      <c r="J166" s="17" t="s">
        <v>18</v>
      </c>
      <c r="K166" s="38"/>
      <c r="L166" s="17" t="s">
        <v>18</v>
      </c>
      <c r="M166" s="17" t="s">
        <v>134</v>
      </c>
      <c r="N166" s="40" t="s">
        <v>117</v>
      </c>
      <c r="O166" s="17" t="s">
        <v>118</v>
      </c>
      <c r="P166" s="17" t="s">
        <v>127</v>
      </c>
      <c r="Q166" s="17" t="s">
        <v>121</v>
      </c>
    </row>
    <row r="167" spans="1:18" ht="25.5">
      <c r="A167" s="47" t="s">
        <v>748</v>
      </c>
      <c r="B167" s="17">
        <f t="shared" si="5"/>
        <v>166</v>
      </c>
      <c r="C167" s="31" t="s">
        <v>750</v>
      </c>
      <c r="D167" s="17" t="s">
        <v>96</v>
      </c>
      <c r="E167" s="16" t="s">
        <v>752</v>
      </c>
      <c r="F167" s="16" t="s">
        <v>754</v>
      </c>
      <c r="G167" s="17" t="s">
        <v>48</v>
      </c>
      <c r="H167" s="17" t="s">
        <v>16</v>
      </c>
      <c r="I167" s="6" t="s">
        <v>72</v>
      </c>
      <c r="J167" s="17" t="s">
        <v>18</v>
      </c>
      <c r="K167" s="38"/>
      <c r="L167" s="17" t="s">
        <v>18</v>
      </c>
      <c r="M167" s="17" t="s">
        <v>134</v>
      </c>
      <c r="N167" s="40" t="s">
        <v>117</v>
      </c>
      <c r="O167" s="17" t="s">
        <v>118</v>
      </c>
      <c r="P167" s="17" t="s">
        <v>127</v>
      </c>
      <c r="Q167" s="17" t="s">
        <v>121</v>
      </c>
    </row>
    <row r="168" spans="1:18" ht="25.5">
      <c r="A168" s="45" t="s">
        <v>208</v>
      </c>
      <c r="B168" s="17">
        <f t="shared" si="5"/>
        <v>167</v>
      </c>
      <c r="C168" s="18" t="s">
        <v>598</v>
      </c>
      <c r="D168" s="18" t="s">
        <v>95</v>
      </c>
      <c r="E168" s="15" t="s">
        <v>594</v>
      </c>
      <c r="F168" s="15" t="s">
        <v>595</v>
      </c>
      <c r="G168" s="17" t="s">
        <v>48</v>
      </c>
      <c r="H168" s="17" t="s">
        <v>16</v>
      </c>
      <c r="I168" s="6" t="s">
        <v>72</v>
      </c>
      <c r="J168" s="16" t="s">
        <v>156</v>
      </c>
      <c r="K168" s="17"/>
      <c r="L168" s="17" t="s">
        <v>18</v>
      </c>
      <c r="M168" s="17" t="s">
        <v>134</v>
      </c>
      <c r="N168" s="40" t="s">
        <v>117</v>
      </c>
      <c r="O168" s="17" t="s">
        <v>118</v>
      </c>
      <c r="P168" s="17" t="s">
        <v>127</v>
      </c>
      <c r="Q168" s="17" t="s">
        <v>121</v>
      </c>
    </row>
    <row r="169" spans="1:18" ht="25.5">
      <c r="A169" s="45" t="s">
        <v>209</v>
      </c>
      <c r="B169" s="17">
        <f t="shared" si="5"/>
        <v>168</v>
      </c>
      <c r="C169" s="18" t="s">
        <v>599</v>
      </c>
      <c r="D169" s="18" t="s">
        <v>95</v>
      </c>
      <c r="E169" s="16" t="s">
        <v>600</v>
      </c>
      <c r="F169" s="15" t="s">
        <v>601</v>
      </c>
      <c r="G169" s="17" t="s">
        <v>48</v>
      </c>
      <c r="H169" s="17" t="s">
        <v>16</v>
      </c>
      <c r="I169" s="6" t="s">
        <v>72</v>
      </c>
      <c r="J169" s="16" t="s">
        <v>156</v>
      </c>
      <c r="K169" s="17"/>
      <c r="L169" s="17" t="s">
        <v>18</v>
      </c>
      <c r="M169" s="17" t="s">
        <v>134</v>
      </c>
      <c r="N169" s="40" t="s">
        <v>117</v>
      </c>
      <c r="O169" s="17" t="s">
        <v>118</v>
      </c>
      <c r="P169" s="17" t="s">
        <v>127</v>
      </c>
      <c r="Q169" s="17" t="s">
        <v>121</v>
      </c>
    </row>
    <row r="170" spans="1:18" ht="25.5">
      <c r="A170" s="46" t="s">
        <v>235</v>
      </c>
      <c r="B170" s="17">
        <f t="shared" si="5"/>
        <v>169</v>
      </c>
      <c r="C170" s="18" t="s">
        <v>210</v>
      </c>
      <c r="D170" s="18" t="s">
        <v>95</v>
      </c>
      <c r="E170" s="16" t="s">
        <v>616</v>
      </c>
      <c r="F170" s="15" t="s">
        <v>227</v>
      </c>
      <c r="G170" s="17" t="s">
        <v>48</v>
      </c>
      <c r="H170" s="17" t="s">
        <v>16</v>
      </c>
      <c r="I170" s="6" t="s">
        <v>73</v>
      </c>
      <c r="J170" s="16" t="s">
        <v>157</v>
      </c>
      <c r="K170" s="17"/>
      <c r="L170" s="17" t="s">
        <v>160</v>
      </c>
      <c r="M170" s="17" t="s">
        <v>134</v>
      </c>
      <c r="N170" s="40" t="s">
        <v>117</v>
      </c>
      <c r="O170" s="17" t="s">
        <v>118</v>
      </c>
      <c r="P170" s="17" t="s">
        <v>120</v>
      </c>
      <c r="Q170" s="17" t="s">
        <v>121</v>
      </c>
    </row>
    <row r="171" spans="1:18" ht="25.5">
      <c r="A171" s="46" t="s">
        <v>236</v>
      </c>
      <c r="B171" s="17">
        <f t="shared" si="5"/>
        <v>170</v>
      </c>
      <c r="C171" s="18" t="s">
        <v>211</v>
      </c>
      <c r="D171" s="18" t="s">
        <v>95</v>
      </c>
      <c r="E171" s="15" t="s">
        <v>405</v>
      </c>
      <c r="F171" s="15" t="s">
        <v>226</v>
      </c>
      <c r="G171" s="17" t="s">
        <v>48</v>
      </c>
      <c r="H171" s="17" t="s">
        <v>16</v>
      </c>
      <c r="I171" s="6" t="s">
        <v>73</v>
      </c>
      <c r="J171" s="16" t="s">
        <v>157</v>
      </c>
      <c r="K171" s="17"/>
      <c r="L171" s="17" t="s">
        <v>18</v>
      </c>
      <c r="M171" s="17" t="s">
        <v>134</v>
      </c>
      <c r="N171" s="40" t="s">
        <v>117</v>
      </c>
      <c r="O171" s="17" t="s">
        <v>118</v>
      </c>
      <c r="P171" s="17" t="s">
        <v>120</v>
      </c>
      <c r="Q171" s="17" t="s">
        <v>121</v>
      </c>
    </row>
    <row r="172" spans="1:18" ht="25.5">
      <c r="A172" s="45" t="s">
        <v>234</v>
      </c>
      <c r="B172" s="17">
        <f t="shared" si="5"/>
        <v>171</v>
      </c>
      <c r="C172" s="18" t="s">
        <v>602</v>
      </c>
      <c r="D172" s="18" t="s">
        <v>95</v>
      </c>
      <c r="E172" s="16" t="s">
        <v>613</v>
      </c>
      <c r="F172" s="15" t="s">
        <v>603</v>
      </c>
      <c r="G172" s="17" t="s">
        <v>48</v>
      </c>
      <c r="H172" s="17" t="s">
        <v>16</v>
      </c>
      <c r="I172" s="6" t="s">
        <v>73</v>
      </c>
      <c r="J172" s="16" t="s">
        <v>157</v>
      </c>
      <c r="K172" s="17"/>
      <c r="L172" s="17" t="s">
        <v>161</v>
      </c>
      <c r="M172" s="17" t="s">
        <v>134</v>
      </c>
      <c r="N172" s="40" t="s">
        <v>117</v>
      </c>
      <c r="O172" s="17" t="s">
        <v>118</v>
      </c>
      <c r="P172" s="17" t="s">
        <v>120</v>
      </c>
      <c r="Q172" s="17" t="s">
        <v>121</v>
      </c>
    </row>
    <row r="173" spans="1:18" ht="25.5">
      <c r="A173" s="46" t="s">
        <v>244</v>
      </c>
      <c r="B173" s="17">
        <f t="shared" si="5"/>
        <v>172</v>
      </c>
      <c r="C173" s="17" t="s">
        <v>245</v>
      </c>
      <c r="D173" s="18" t="s">
        <v>95</v>
      </c>
      <c r="E173" s="16" t="s">
        <v>614</v>
      </c>
      <c r="F173" s="16" t="s">
        <v>615</v>
      </c>
      <c r="G173" s="17" t="s">
        <v>48</v>
      </c>
      <c r="H173" s="17" t="s">
        <v>16</v>
      </c>
      <c r="I173" s="6" t="s">
        <v>73</v>
      </c>
      <c r="J173" s="16" t="s">
        <v>157</v>
      </c>
      <c r="K173" s="17"/>
      <c r="L173" s="17" t="s">
        <v>18</v>
      </c>
      <c r="M173" s="17" t="s">
        <v>134</v>
      </c>
      <c r="N173" s="40" t="s">
        <v>117</v>
      </c>
      <c r="O173" s="17" t="s">
        <v>118</v>
      </c>
      <c r="P173" s="17" t="s">
        <v>120</v>
      </c>
      <c r="Q173" s="17" t="s">
        <v>121</v>
      </c>
    </row>
    <row r="174" spans="1:18" ht="25.5">
      <c r="A174" s="46" t="s">
        <v>243</v>
      </c>
      <c r="B174" s="17">
        <f t="shared" si="5"/>
        <v>173</v>
      </c>
      <c r="C174" s="17" t="s">
        <v>242</v>
      </c>
      <c r="D174" s="18" t="s">
        <v>95</v>
      </c>
      <c r="E174" s="15" t="s">
        <v>404</v>
      </c>
      <c r="F174" s="15" t="s">
        <v>224</v>
      </c>
      <c r="G174" s="17" t="s">
        <v>48</v>
      </c>
      <c r="H174" s="17" t="s">
        <v>16</v>
      </c>
      <c r="I174" s="6" t="s">
        <v>73</v>
      </c>
      <c r="J174" s="16" t="s">
        <v>157</v>
      </c>
      <c r="K174" s="17"/>
      <c r="L174" s="17" t="s">
        <v>18</v>
      </c>
      <c r="M174" s="17" t="s">
        <v>134</v>
      </c>
      <c r="N174" s="40" t="s">
        <v>117</v>
      </c>
      <c r="O174" s="17" t="s">
        <v>118</v>
      </c>
      <c r="P174" s="17" t="s">
        <v>120</v>
      </c>
      <c r="Q174" s="17" t="s">
        <v>121</v>
      </c>
    </row>
    <row r="175" spans="1:18" ht="25.5">
      <c r="A175" s="46" t="s">
        <v>238</v>
      </c>
      <c r="B175" s="17">
        <f t="shared" si="5"/>
        <v>174</v>
      </c>
      <c r="C175" s="18" t="s">
        <v>213</v>
      </c>
      <c r="D175" s="18" t="s">
        <v>95</v>
      </c>
      <c r="E175" s="16" t="s">
        <v>618</v>
      </c>
      <c r="F175" s="15" t="s">
        <v>228</v>
      </c>
      <c r="G175" s="17" t="s">
        <v>48</v>
      </c>
      <c r="H175" s="17" t="s">
        <v>16</v>
      </c>
      <c r="I175" s="6" t="s">
        <v>73</v>
      </c>
      <c r="J175" s="16" t="s">
        <v>157</v>
      </c>
      <c r="K175" s="17"/>
      <c r="L175" s="17" t="s">
        <v>160</v>
      </c>
      <c r="M175" s="17" t="s">
        <v>134</v>
      </c>
      <c r="N175" s="40" t="s">
        <v>117</v>
      </c>
      <c r="O175" s="17" t="s">
        <v>118</v>
      </c>
      <c r="P175" s="17" t="s">
        <v>120</v>
      </c>
      <c r="Q175" s="17" t="s">
        <v>121</v>
      </c>
    </row>
    <row r="176" spans="1:18" ht="25.5">
      <c r="A176" s="46" t="s">
        <v>239</v>
      </c>
      <c r="B176" s="17">
        <f t="shared" si="5"/>
        <v>175</v>
      </c>
      <c r="C176" s="18" t="s">
        <v>212</v>
      </c>
      <c r="D176" s="18" t="s">
        <v>95</v>
      </c>
      <c r="E176" s="15" t="s">
        <v>406</v>
      </c>
      <c r="F176" s="15" t="s">
        <v>225</v>
      </c>
      <c r="G176" s="17" t="s">
        <v>48</v>
      </c>
      <c r="H176" s="17" t="s">
        <v>16</v>
      </c>
      <c r="I176" s="6" t="s">
        <v>73</v>
      </c>
      <c r="J176" s="16" t="s">
        <v>157</v>
      </c>
      <c r="K176" s="17"/>
      <c r="L176" s="17" t="s">
        <v>18</v>
      </c>
      <c r="M176" s="17" t="s">
        <v>134</v>
      </c>
      <c r="N176" s="40" t="s">
        <v>117</v>
      </c>
      <c r="O176" s="17" t="s">
        <v>118</v>
      </c>
      <c r="P176" s="17" t="s">
        <v>120</v>
      </c>
      <c r="Q176" s="17" t="s">
        <v>121</v>
      </c>
    </row>
    <row r="177" spans="1:17" ht="25.5">
      <c r="A177" s="47" t="s">
        <v>755</v>
      </c>
      <c r="B177" s="17">
        <f t="shared" si="5"/>
        <v>176</v>
      </c>
      <c r="C177" s="31" t="s">
        <v>757</v>
      </c>
      <c r="D177" s="17" t="s">
        <v>759</v>
      </c>
      <c r="E177" s="16" t="s">
        <v>760</v>
      </c>
      <c r="F177" s="16" t="s">
        <v>762</v>
      </c>
      <c r="G177" s="17" t="s">
        <v>48</v>
      </c>
      <c r="H177" s="17" t="s">
        <v>16</v>
      </c>
      <c r="I177" s="6" t="s">
        <v>72</v>
      </c>
      <c r="J177" s="17" t="s">
        <v>18</v>
      </c>
      <c r="K177" s="38"/>
      <c r="L177" s="17" t="s">
        <v>18</v>
      </c>
      <c r="M177" s="17" t="s">
        <v>134</v>
      </c>
      <c r="N177" s="40" t="s">
        <v>117</v>
      </c>
      <c r="O177" s="17" t="s">
        <v>118</v>
      </c>
      <c r="P177" s="17" t="s">
        <v>120</v>
      </c>
      <c r="Q177" s="17" t="s">
        <v>121</v>
      </c>
    </row>
    <row r="178" spans="1:17" ht="25.5">
      <c r="A178" s="47" t="s">
        <v>756</v>
      </c>
      <c r="B178" s="17">
        <f t="shared" si="5"/>
        <v>177</v>
      </c>
      <c r="C178" s="31" t="s">
        <v>758</v>
      </c>
      <c r="D178" s="17" t="s">
        <v>759</v>
      </c>
      <c r="E178" s="16" t="s">
        <v>761</v>
      </c>
      <c r="F178" s="16" t="s">
        <v>763</v>
      </c>
      <c r="G178" s="17" t="s">
        <v>48</v>
      </c>
      <c r="H178" s="17" t="s">
        <v>16</v>
      </c>
      <c r="I178" s="6" t="s">
        <v>72</v>
      </c>
      <c r="J178" s="17" t="s">
        <v>18</v>
      </c>
      <c r="K178" s="38"/>
      <c r="L178" s="17" t="s">
        <v>18</v>
      </c>
      <c r="M178" s="17" t="s">
        <v>134</v>
      </c>
      <c r="N178" s="40" t="s">
        <v>117</v>
      </c>
      <c r="O178" s="17" t="s">
        <v>118</v>
      </c>
      <c r="P178" s="17" t="s">
        <v>120</v>
      </c>
      <c r="Q178" s="17" t="s">
        <v>121</v>
      </c>
    </row>
    <row r="179" spans="1:17" ht="25.5">
      <c r="A179" s="17" t="s">
        <v>237</v>
      </c>
      <c r="B179" s="17">
        <f t="shared" si="5"/>
        <v>178</v>
      </c>
      <c r="C179" s="17" t="s">
        <v>604</v>
      </c>
      <c r="D179" s="17" t="s">
        <v>95</v>
      </c>
      <c r="E179" s="16" t="s">
        <v>617</v>
      </c>
      <c r="F179" s="16" t="s">
        <v>605</v>
      </c>
      <c r="G179" s="17" t="s">
        <v>48</v>
      </c>
      <c r="H179" s="17" t="s">
        <v>16</v>
      </c>
      <c r="I179" s="6" t="s">
        <v>73</v>
      </c>
      <c r="J179" s="16" t="s">
        <v>157</v>
      </c>
      <c r="K179" s="17"/>
      <c r="L179" s="17" t="s">
        <v>161</v>
      </c>
      <c r="M179" s="17" t="s">
        <v>134</v>
      </c>
      <c r="N179" s="40" t="s">
        <v>117</v>
      </c>
      <c r="O179" s="17" t="s">
        <v>118</v>
      </c>
      <c r="P179" s="17" t="s">
        <v>120</v>
      </c>
      <c r="Q179" s="17" t="s">
        <v>121</v>
      </c>
    </row>
    <row r="180" spans="1:17" ht="25.5">
      <c r="A180" s="45" t="s">
        <v>240</v>
      </c>
      <c r="B180" s="17">
        <f t="shared" si="5"/>
        <v>179</v>
      </c>
      <c r="C180" s="18" t="s">
        <v>241</v>
      </c>
      <c r="D180" s="18" t="s">
        <v>95</v>
      </c>
      <c r="E180" s="15" t="s">
        <v>606</v>
      </c>
      <c r="F180" s="15" t="s">
        <v>607</v>
      </c>
      <c r="G180" s="18" t="s">
        <v>48</v>
      </c>
      <c r="H180" s="18" t="s">
        <v>16</v>
      </c>
      <c r="I180" s="19" t="s">
        <v>73</v>
      </c>
      <c r="J180" s="16" t="s">
        <v>157</v>
      </c>
      <c r="K180" s="18"/>
      <c r="L180" s="17" t="s">
        <v>18</v>
      </c>
      <c r="M180" s="17" t="s">
        <v>134</v>
      </c>
      <c r="N180" s="40" t="s">
        <v>117</v>
      </c>
      <c r="O180" s="17" t="s">
        <v>118</v>
      </c>
      <c r="P180" s="17" t="s">
        <v>120</v>
      </c>
      <c r="Q180" s="17" t="s">
        <v>121</v>
      </c>
    </row>
    <row r="181" spans="1:17">
      <c r="A181" s="47" t="s">
        <v>764</v>
      </c>
      <c r="B181" s="17">
        <f t="shared" si="5"/>
        <v>180</v>
      </c>
      <c r="C181" s="31" t="s">
        <v>765</v>
      </c>
      <c r="D181" s="31" t="s">
        <v>766</v>
      </c>
      <c r="E181" s="32" t="s">
        <v>767</v>
      </c>
      <c r="F181" s="32" t="s">
        <v>768</v>
      </c>
      <c r="G181" s="18" t="s">
        <v>48</v>
      </c>
      <c r="H181" s="17" t="s">
        <v>16</v>
      </c>
      <c r="I181" s="19" t="s">
        <v>72</v>
      </c>
      <c r="J181" s="15" t="s">
        <v>18</v>
      </c>
      <c r="K181" s="18"/>
      <c r="L181" s="17" t="s">
        <v>18</v>
      </c>
      <c r="M181" s="18" t="s">
        <v>134</v>
      </c>
      <c r="N181" s="40" t="s">
        <v>18</v>
      </c>
      <c r="O181" s="17" t="s">
        <v>18</v>
      </c>
      <c r="P181" s="17" t="s">
        <v>18</v>
      </c>
      <c r="Q181" s="17" t="s">
        <v>121</v>
      </c>
    </row>
    <row r="182" spans="1:17">
      <c r="A182" s="47" t="s">
        <v>698</v>
      </c>
      <c r="B182" s="17">
        <f t="shared" si="5"/>
        <v>181</v>
      </c>
      <c r="C182" s="31" t="s">
        <v>699</v>
      </c>
      <c r="D182" s="31" t="s">
        <v>766</v>
      </c>
      <c r="E182" s="32" t="s">
        <v>775</v>
      </c>
      <c r="F182" s="32" t="s">
        <v>776</v>
      </c>
      <c r="G182" s="18" t="s">
        <v>48</v>
      </c>
      <c r="H182" s="17" t="s">
        <v>16</v>
      </c>
      <c r="I182" s="19" t="s">
        <v>72</v>
      </c>
      <c r="J182" s="15" t="s">
        <v>18</v>
      </c>
      <c r="K182" s="18"/>
      <c r="L182" s="17" t="s">
        <v>18</v>
      </c>
      <c r="M182" s="18" t="s">
        <v>134</v>
      </c>
      <c r="N182" s="40" t="s">
        <v>18</v>
      </c>
      <c r="O182" s="17" t="s">
        <v>18</v>
      </c>
      <c r="P182" s="17" t="s">
        <v>18</v>
      </c>
      <c r="Q182" s="17" t="s">
        <v>121</v>
      </c>
    </row>
    <row r="183" spans="1:17">
      <c r="A183" s="47" t="s">
        <v>700</v>
      </c>
      <c r="B183" s="17">
        <f t="shared" si="5"/>
        <v>182</v>
      </c>
      <c r="C183" s="31" t="s">
        <v>701</v>
      </c>
      <c r="D183" s="31" t="s">
        <v>766</v>
      </c>
      <c r="E183" s="32" t="s">
        <v>785</v>
      </c>
      <c r="F183" s="32" t="s">
        <v>786</v>
      </c>
      <c r="G183" s="18" t="s">
        <v>48</v>
      </c>
      <c r="H183" s="17" t="s">
        <v>16</v>
      </c>
      <c r="I183" s="19" t="s">
        <v>72</v>
      </c>
      <c r="J183" s="15" t="s">
        <v>18</v>
      </c>
      <c r="K183" s="18"/>
      <c r="L183" s="17" t="s">
        <v>18</v>
      </c>
      <c r="M183" s="18" t="s">
        <v>134</v>
      </c>
      <c r="N183" s="40" t="s">
        <v>18</v>
      </c>
      <c r="O183" s="17" t="s">
        <v>18</v>
      </c>
      <c r="P183" s="17" t="s">
        <v>18</v>
      </c>
      <c r="Q183" s="17" t="s">
        <v>121</v>
      </c>
    </row>
    <row r="184" spans="1:17">
      <c r="A184" s="47" t="s">
        <v>703</v>
      </c>
      <c r="B184" s="17">
        <f t="shared" si="5"/>
        <v>183</v>
      </c>
      <c r="C184" s="31" t="s">
        <v>702</v>
      </c>
      <c r="D184" s="31" t="s">
        <v>766</v>
      </c>
      <c r="E184" s="32" t="s">
        <v>788</v>
      </c>
      <c r="F184" s="32" t="s">
        <v>787</v>
      </c>
      <c r="G184" s="18" t="s">
        <v>48</v>
      </c>
      <c r="H184" s="17" t="s">
        <v>16</v>
      </c>
      <c r="I184" s="19" t="s">
        <v>72</v>
      </c>
      <c r="J184" s="15" t="s">
        <v>18</v>
      </c>
      <c r="K184" s="18"/>
      <c r="L184" s="17" t="s">
        <v>18</v>
      </c>
      <c r="M184" s="18" t="s">
        <v>134</v>
      </c>
      <c r="N184" s="40" t="s">
        <v>18</v>
      </c>
      <c r="O184" s="17" t="s">
        <v>18</v>
      </c>
      <c r="P184" s="17" t="s">
        <v>18</v>
      </c>
      <c r="Q184" s="17" t="s">
        <v>121</v>
      </c>
    </row>
    <row r="185" spans="1:17" ht="25.5">
      <c r="A185" s="47" t="s">
        <v>658</v>
      </c>
      <c r="B185" s="17">
        <f t="shared" si="5"/>
        <v>184</v>
      </c>
      <c r="C185" s="31" t="s">
        <v>679</v>
      </c>
      <c r="D185" s="31" t="s">
        <v>95</v>
      </c>
      <c r="E185" s="32" t="s">
        <v>769</v>
      </c>
      <c r="F185" s="32" t="s">
        <v>770</v>
      </c>
      <c r="G185" s="18" t="s">
        <v>48</v>
      </c>
      <c r="H185" s="17" t="s">
        <v>16</v>
      </c>
      <c r="I185" s="19" t="s">
        <v>72</v>
      </c>
      <c r="J185" s="15" t="s">
        <v>18</v>
      </c>
      <c r="K185" s="18"/>
      <c r="L185" s="18" t="s">
        <v>283</v>
      </c>
      <c r="M185" s="18" t="s">
        <v>134</v>
      </c>
      <c r="N185" s="40" t="s">
        <v>18</v>
      </c>
      <c r="O185" s="17" t="s">
        <v>18</v>
      </c>
      <c r="P185" s="17" t="s">
        <v>18</v>
      </c>
      <c r="Q185" s="17" t="s">
        <v>121</v>
      </c>
    </row>
    <row r="186" spans="1:17">
      <c r="A186" s="47" t="s">
        <v>696</v>
      </c>
      <c r="B186" s="17">
        <f t="shared" si="5"/>
        <v>185</v>
      </c>
      <c r="C186" s="31" t="s">
        <v>697</v>
      </c>
      <c r="D186" s="31" t="s">
        <v>95</v>
      </c>
      <c r="E186" s="32" t="s">
        <v>771</v>
      </c>
      <c r="F186" s="32" t="s">
        <v>772</v>
      </c>
      <c r="G186" s="18" t="s">
        <v>48</v>
      </c>
      <c r="H186" s="17" t="s">
        <v>16</v>
      </c>
      <c r="I186" s="19" t="s">
        <v>72</v>
      </c>
      <c r="J186" s="15" t="s">
        <v>18</v>
      </c>
      <c r="K186" s="18"/>
      <c r="L186" s="18" t="s">
        <v>283</v>
      </c>
      <c r="M186" s="18" t="s">
        <v>134</v>
      </c>
      <c r="N186" s="40" t="s">
        <v>18</v>
      </c>
      <c r="O186" s="17" t="s">
        <v>18</v>
      </c>
      <c r="P186" s="17" t="s">
        <v>18</v>
      </c>
      <c r="Q186" s="17" t="s">
        <v>121</v>
      </c>
    </row>
    <row r="187" spans="1:17" ht="25.5">
      <c r="A187" s="47" t="s">
        <v>657</v>
      </c>
      <c r="B187" s="17">
        <f t="shared" si="5"/>
        <v>186</v>
      </c>
      <c r="C187" s="31" t="s">
        <v>678</v>
      </c>
      <c r="D187" s="31" t="s">
        <v>95</v>
      </c>
      <c r="E187" s="32" t="s">
        <v>773</v>
      </c>
      <c r="F187" s="32" t="s">
        <v>774</v>
      </c>
      <c r="G187" s="18" t="s">
        <v>48</v>
      </c>
      <c r="H187" s="17" t="s">
        <v>16</v>
      </c>
      <c r="I187" s="19" t="s">
        <v>72</v>
      </c>
      <c r="J187" s="15" t="s">
        <v>18</v>
      </c>
      <c r="K187" s="18"/>
      <c r="L187" s="18" t="s">
        <v>283</v>
      </c>
      <c r="M187" s="18" t="s">
        <v>134</v>
      </c>
      <c r="N187" s="40" t="s">
        <v>18</v>
      </c>
      <c r="O187" s="17" t="s">
        <v>18</v>
      </c>
      <c r="P187" s="17" t="s">
        <v>18</v>
      </c>
      <c r="Q187" s="17" t="s">
        <v>121</v>
      </c>
    </row>
    <row r="188" spans="1:17" ht="25.5">
      <c r="A188" s="46" t="s">
        <v>655</v>
      </c>
      <c r="B188" s="17">
        <f t="shared" si="5"/>
        <v>187</v>
      </c>
      <c r="C188" s="17" t="s">
        <v>723</v>
      </c>
      <c r="D188" s="18" t="s">
        <v>95</v>
      </c>
      <c r="E188" s="16" t="s">
        <v>653</v>
      </c>
      <c r="F188" s="16" t="s">
        <v>654</v>
      </c>
      <c r="G188" s="18" t="s">
        <v>48</v>
      </c>
      <c r="H188" s="18" t="s">
        <v>16</v>
      </c>
      <c r="I188" s="19" t="s">
        <v>73</v>
      </c>
      <c r="J188" s="16" t="s">
        <v>157</v>
      </c>
      <c r="K188" s="18"/>
      <c r="L188" s="17" t="s">
        <v>18</v>
      </c>
      <c r="M188" s="17" t="s">
        <v>134</v>
      </c>
      <c r="N188" s="40" t="s">
        <v>117</v>
      </c>
      <c r="O188" s="17" t="s">
        <v>118</v>
      </c>
      <c r="P188" s="17" t="s">
        <v>120</v>
      </c>
      <c r="Q188" s="17" t="s">
        <v>121</v>
      </c>
    </row>
    <row r="189" spans="1:17" ht="25.5">
      <c r="A189" s="46" t="s">
        <v>286</v>
      </c>
      <c r="B189" s="17">
        <f t="shared" si="5"/>
        <v>188</v>
      </c>
      <c r="C189" s="17" t="s">
        <v>722</v>
      </c>
      <c r="D189" s="18" t="s">
        <v>95</v>
      </c>
      <c r="E189" s="15" t="s">
        <v>608</v>
      </c>
      <c r="F189" s="15" t="s">
        <v>609</v>
      </c>
      <c r="G189" s="18" t="s">
        <v>48</v>
      </c>
      <c r="H189" s="18" t="s">
        <v>16</v>
      </c>
      <c r="I189" s="19" t="s">
        <v>73</v>
      </c>
      <c r="J189" s="16" t="s">
        <v>157</v>
      </c>
      <c r="K189" s="18"/>
      <c r="L189" s="17" t="s">
        <v>18</v>
      </c>
      <c r="M189" s="17" t="s">
        <v>134</v>
      </c>
      <c r="N189" s="40" t="s">
        <v>117</v>
      </c>
      <c r="O189" s="17" t="s">
        <v>118</v>
      </c>
      <c r="P189" s="17" t="s">
        <v>120</v>
      </c>
      <c r="Q189" s="17" t="s">
        <v>121</v>
      </c>
    </row>
    <row r="190" spans="1:17" ht="25.5">
      <c r="A190" s="66" t="s">
        <v>897</v>
      </c>
      <c r="B190" s="67">
        <v>189</v>
      </c>
      <c r="C190" s="67" t="s">
        <v>922</v>
      </c>
      <c r="D190" s="67" t="s">
        <v>766</v>
      </c>
      <c r="E190" s="68" t="s">
        <v>910</v>
      </c>
      <c r="F190" s="68" t="s">
        <v>911</v>
      </c>
      <c r="G190" s="67" t="s">
        <v>48</v>
      </c>
      <c r="H190" s="67" t="s">
        <v>16</v>
      </c>
      <c r="I190" s="69" t="s">
        <v>72</v>
      </c>
      <c r="J190" s="68" t="s">
        <v>18</v>
      </c>
      <c r="K190" s="67"/>
      <c r="L190" s="67" t="s">
        <v>912</v>
      </c>
      <c r="M190" s="71" t="s">
        <v>134</v>
      </c>
      <c r="N190" s="74" t="s">
        <v>117</v>
      </c>
      <c r="O190" s="67" t="s">
        <v>118</v>
      </c>
      <c r="P190" s="67" t="s">
        <v>898</v>
      </c>
      <c r="Q190" s="67" t="s">
        <v>121</v>
      </c>
    </row>
    <row r="191" spans="1:17" ht="25.5">
      <c r="A191" s="66" t="s">
        <v>903</v>
      </c>
      <c r="B191" s="67">
        <v>190</v>
      </c>
      <c r="C191" s="70" t="s">
        <v>919</v>
      </c>
      <c r="D191" s="71" t="s">
        <v>766</v>
      </c>
      <c r="E191" s="16" t="s">
        <v>913</v>
      </c>
      <c r="F191" s="70" t="s">
        <v>916</v>
      </c>
      <c r="G191" s="67" t="s">
        <v>48</v>
      </c>
      <c r="H191" s="71" t="s">
        <v>16</v>
      </c>
      <c r="I191" s="73" t="s">
        <v>72</v>
      </c>
      <c r="J191" s="72" t="s">
        <v>18</v>
      </c>
      <c r="K191" s="67"/>
      <c r="L191" s="71" t="s">
        <v>18</v>
      </c>
      <c r="M191" s="71" t="s">
        <v>134</v>
      </c>
      <c r="N191" s="74" t="s">
        <v>117</v>
      </c>
      <c r="O191" s="67" t="s">
        <v>118</v>
      </c>
      <c r="P191" s="67" t="s">
        <v>898</v>
      </c>
      <c r="Q191" s="67" t="s">
        <v>121</v>
      </c>
    </row>
    <row r="192" spans="1:17" ht="25.5">
      <c r="A192" s="66" t="s">
        <v>907</v>
      </c>
      <c r="B192" s="67">
        <v>191</v>
      </c>
      <c r="C192" s="70" t="s">
        <v>920</v>
      </c>
      <c r="D192" s="71" t="s">
        <v>766</v>
      </c>
      <c r="E192" s="72" t="s">
        <v>914</v>
      </c>
      <c r="F192" s="68" t="s">
        <v>917</v>
      </c>
      <c r="G192" s="67" t="s">
        <v>48</v>
      </c>
      <c r="H192" s="71" t="s">
        <v>16</v>
      </c>
      <c r="I192" s="73" t="s">
        <v>72</v>
      </c>
      <c r="J192" s="72" t="s">
        <v>18</v>
      </c>
      <c r="K192" s="67"/>
      <c r="L192" s="71" t="s">
        <v>18</v>
      </c>
      <c r="M192" s="71" t="s">
        <v>134</v>
      </c>
      <c r="N192" s="74" t="s">
        <v>117</v>
      </c>
      <c r="O192" s="67" t="s">
        <v>118</v>
      </c>
      <c r="P192" s="67" t="s">
        <v>898</v>
      </c>
      <c r="Q192" s="67" t="s">
        <v>121</v>
      </c>
    </row>
    <row r="193" spans="1:17" ht="25.5">
      <c r="A193" s="66" t="s">
        <v>909</v>
      </c>
      <c r="B193" s="67">
        <v>192</v>
      </c>
      <c r="C193" s="67" t="s">
        <v>921</v>
      </c>
      <c r="D193" s="1" t="s">
        <v>766</v>
      </c>
      <c r="E193" s="68" t="s">
        <v>915</v>
      </c>
      <c r="F193" s="68" t="s">
        <v>918</v>
      </c>
      <c r="G193" s="67" t="s">
        <v>48</v>
      </c>
      <c r="H193" s="71" t="s">
        <v>16</v>
      </c>
      <c r="I193" s="73" t="s">
        <v>72</v>
      </c>
      <c r="J193" s="72" t="s">
        <v>18</v>
      </c>
      <c r="K193" s="67"/>
      <c r="L193" s="71" t="s">
        <v>18</v>
      </c>
      <c r="M193" s="71" t="s">
        <v>134</v>
      </c>
      <c r="N193" s="74" t="s">
        <v>117</v>
      </c>
      <c r="O193" s="67" t="s">
        <v>118</v>
      </c>
      <c r="P193" s="67" t="s">
        <v>898</v>
      </c>
      <c r="Q193" s="67" t="s">
        <v>121</v>
      </c>
    </row>
  </sheetData>
  <phoneticPr fontId="11" type="noConversion"/>
  <conditionalFormatting sqref="A44">
    <cfRule type="duplicateValues" dxfId="24" priority="25"/>
    <cfRule type="duplicateValues" dxfId="23" priority="26"/>
  </conditionalFormatting>
  <conditionalFormatting sqref="A45">
    <cfRule type="duplicateValues" dxfId="22" priority="17"/>
    <cfRule type="duplicateValues" dxfId="21" priority="18"/>
  </conditionalFormatting>
  <conditionalFormatting sqref="A60">
    <cfRule type="duplicateValues" dxfId="20" priority="5"/>
    <cfRule type="duplicateValues" dxfId="19" priority="6"/>
  </conditionalFormatting>
  <conditionalFormatting sqref="A61:A69">
    <cfRule type="duplicateValues" dxfId="18" priority="3"/>
    <cfRule type="duplicateValues" dxfId="17" priority="4"/>
  </conditionalFormatting>
  <conditionalFormatting sqref="A82">
    <cfRule type="duplicateValues" dxfId="16" priority="13"/>
    <cfRule type="duplicateValues" dxfId="15" priority="14"/>
  </conditionalFormatting>
  <conditionalFormatting sqref="A109">
    <cfRule type="duplicateValues" dxfId="14" priority="1"/>
    <cfRule type="duplicateValues" dxfId="13" priority="2"/>
  </conditionalFormatting>
  <conditionalFormatting sqref="A166">
    <cfRule type="duplicateValues" dxfId="12" priority="21"/>
    <cfRule type="duplicateValues" dxfId="11" priority="22"/>
  </conditionalFormatting>
  <conditionalFormatting sqref="A167 A170:A173 A177:A178 A1:A43 A46:A59 A70:A81 A83:A108 A110:A165 A182:A1048576">
    <cfRule type="duplicateValues" dxfId="10" priority="38"/>
    <cfRule type="duplicateValues" dxfId="9" priority="39"/>
  </conditionalFormatting>
  <conditionalFormatting sqref="A168:A169">
    <cfRule type="duplicateValues" dxfId="8" priority="11"/>
    <cfRule type="duplicateValues" dxfId="7" priority="12"/>
  </conditionalFormatting>
  <conditionalFormatting sqref="A170:A171 A133 A156:A159">
    <cfRule type="duplicateValues" dxfId="6" priority="40"/>
  </conditionalFormatting>
  <conditionalFormatting sqref="A174:A175">
    <cfRule type="duplicateValues" dxfId="5" priority="9"/>
    <cfRule type="duplicateValues" dxfId="4" priority="10"/>
  </conditionalFormatting>
  <conditionalFormatting sqref="A176">
    <cfRule type="duplicateValues" dxfId="3" priority="7"/>
    <cfRule type="duplicateValues" dxfId="2" priority="8"/>
  </conditionalFormatting>
  <conditionalFormatting sqref="A179:A181">
    <cfRule type="duplicateValues" dxfId="1" priority="15"/>
    <cfRule type="duplicateValues" dxfId="0" priority="16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"/>
  <sheetViews>
    <sheetView zoomScaleNormal="100" workbookViewId="0">
      <pane ySplit="1" topLeftCell="A76" activePane="bottomLeft" state="frozen"/>
      <selection pane="bottomLeft" activeCell="G104" sqref="G104"/>
    </sheetView>
  </sheetViews>
  <sheetFormatPr defaultColWidth="9.28515625" defaultRowHeight="15"/>
  <cols>
    <col min="1" max="1" width="10.7109375" style="7" bestFit="1" customWidth="1"/>
    <col min="2" max="2" width="6.7109375" style="7" bestFit="1" customWidth="1"/>
    <col min="3" max="3" width="20.5703125" style="7" bestFit="1" customWidth="1"/>
    <col min="4" max="4" width="12.140625" style="7" bestFit="1" customWidth="1"/>
    <col min="5" max="5" width="12" style="7" bestFit="1" customWidth="1"/>
    <col min="6" max="6" width="9.28515625" style="7" bestFit="1" customWidth="1"/>
    <col min="7" max="7" width="88.28515625" style="7" bestFit="1" customWidth="1"/>
    <col min="8" max="16384" width="9.28515625" style="7"/>
  </cols>
  <sheetData>
    <row r="1" spans="1:7" ht="38.25">
      <c r="A1" s="8" t="s">
        <v>70</v>
      </c>
      <c r="B1" s="8" t="s">
        <v>74</v>
      </c>
      <c r="C1" s="8" t="s">
        <v>71</v>
      </c>
      <c r="D1" s="8" t="s">
        <v>68</v>
      </c>
      <c r="E1" s="8" t="s">
        <v>69</v>
      </c>
      <c r="F1" s="8" t="s">
        <v>90</v>
      </c>
      <c r="G1" s="8" t="s">
        <v>83</v>
      </c>
    </row>
    <row r="2" spans="1:7" ht="25.5">
      <c r="A2" s="8" t="s">
        <v>50</v>
      </c>
      <c r="B2" s="8">
        <f t="shared" ref="B2:B33" si="0">ROW()-1</f>
        <v>1</v>
      </c>
      <c r="C2" s="8" t="s">
        <v>378</v>
      </c>
      <c r="D2" s="8">
        <v>1</v>
      </c>
      <c r="E2" s="8">
        <f>+Table3[[#This Row],[Field
Length]]+Table3[[#This Row],[Beginning 
Position]]-1</f>
        <v>16</v>
      </c>
      <c r="F2" s="8">
        <v>16</v>
      </c>
      <c r="G2" s="8" t="s">
        <v>111</v>
      </c>
    </row>
    <row r="3" spans="1:7">
      <c r="A3" s="8" t="s">
        <v>50</v>
      </c>
      <c r="B3" s="8">
        <f t="shared" si="0"/>
        <v>2</v>
      </c>
      <c r="C3" s="8" t="s">
        <v>20</v>
      </c>
      <c r="D3" s="8">
        <f>E2+1</f>
        <v>17</v>
      </c>
      <c r="E3" s="8">
        <f>+Table3[[#This Row],[Field
Length]]+Table3[[#This Row],[Beginning 
Position]]-1</f>
        <v>24</v>
      </c>
      <c r="F3" s="9">
        <v>8</v>
      </c>
      <c r="G3" s="8" t="s">
        <v>110</v>
      </c>
    </row>
    <row r="4" spans="1:7">
      <c r="A4" s="8" t="s">
        <v>50</v>
      </c>
      <c r="B4" s="8">
        <f t="shared" si="0"/>
        <v>3</v>
      </c>
      <c r="C4" s="34" t="s">
        <v>645</v>
      </c>
      <c r="D4" s="34"/>
      <c r="E4" s="34"/>
      <c r="F4" s="35"/>
      <c r="G4" s="34" t="s">
        <v>646</v>
      </c>
    </row>
    <row r="5" spans="1:7" ht="25.5">
      <c r="A5" s="8" t="s">
        <v>50</v>
      </c>
      <c r="B5" s="8">
        <f t="shared" si="0"/>
        <v>4</v>
      </c>
      <c r="C5" s="8" t="s">
        <v>647</v>
      </c>
      <c r="D5" s="8">
        <f>E3+1</f>
        <v>25</v>
      </c>
      <c r="E5" s="8">
        <f>+Table3[[#This Row],[Field
Length]]+Table3[[#This Row],[Beginning 
Position]]-1</f>
        <v>60</v>
      </c>
      <c r="F5" s="8">
        <v>36</v>
      </c>
      <c r="G5" s="8"/>
    </row>
    <row r="6" spans="1:7">
      <c r="A6" s="20" t="s">
        <v>50</v>
      </c>
      <c r="B6" s="8">
        <f t="shared" si="0"/>
        <v>5</v>
      </c>
      <c r="C6" s="20" t="s">
        <v>301</v>
      </c>
      <c r="D6" s="8">
        <f>E5+1</f>
        <v>61</v>
      </c>
      <c r="E6" s="20">
        <f>+Table3[[#This Row],[Field
Length]]+Table3[[#This Row],[Beginning 
Position]]-1</f>
        <v>80</v>
      </c>
      <c r="F6" s="21">
        <v>20</v>
      </c>
      <c r="G6" s="20"/>
    </row>
    <row r="7" spans="1:7">
      <c r="A7" s="20" t="s">
        <v>50</v>
      </c>
      <c r="B7" s="8">
        <f t="shared" si="0"/>
        <v>6</v>
      </c>
      <c r="C7" s="34" t="s">
        <v>648</v>
      </c>
      <c r="D7" s="34"/>
      <c r="E7" s="34"/>
      <c r="F7" s="35"/>
      <c r="G7" s="34"/>
    </row>
    <row r="8" spans="1:7">
      <c r="A8" s="8" t="s">
        <v>151</v>
      </c>
      <c r="B8" s="8">
        <f t="shared" si="0"/>
        <v>7</v>
      </c>
      <c r="C8" s="8" t="s">
        <v>378</v>
      </c>
      <c r="D8" s="8">
        <v>1</v>
      </c>
      <c r="E8" s="8">
        <f>+Table3[[#This Row],[Field
Length]]+Table3[[#This Row],[Beginning 
Position]]-1</f>
        <v>16</v>
      </c>
      <c r="F8" s="8">
        <v>16</v>
      </c>
      <c r="G8" s="8"/>
    </row>
    <row r="9" spans="1:7">
      <c r="A9" s="8" t="s">
        <v>151</v>
      </c>
      <c r="B9" s="8">
        <f t="shared" si="0"/>
        <v>8</v>
      </c>
      <c r="C9" s="8" t="s">
        <v>20</v>
      </c>
      <c r="D9" s="8">
        <f>E8+1</f>
        <v>17</v>
      </c>
      <c r="E9" s="8">
        <f>+Table3[[#This Row],[Field
Length]]+Table3[[#This Row],[Beginning 
Position]]-1</f>
        <v>24</v>
      </c>
      <c r="F9" s="9">
        <v>8</v>
      </c>
      <c r="G9" s="8"/>
    </row>
    <row r="10" spans="1:7">
      <c r="A10" s="8" t="s">
        <v>151</v>
      </c>
      <c r="B10" s="8">
        <f t="shared" si="0"/>
        <v>9</v>
      </c>
      <c r="C10" s="8" t="s">
        <v>403</v>
      </c>
      <c r="D10" s="8">
        <f>E9+1</f>
        <v>25</v>
      </c>
      <c r="E10" s="8">
        <f>+Table3[[#This Row],[Field
Length]]+Table3[[#This Row],[Beginning 
Position]]-1</f>
        <v>44</v>
      </c>
      <c r="F10" s="8">
        <v>20</v>
      </c>
      <c r="G10" s="8"/>
    </row>
    <row r="11" spans="1:7">
      <c r="A11" s="8" t="s">
        <v>151</v>
      </c>
      <c r="B11" s="8">
        <f t="shared" si="0"/>
        <v>10</v>
      </c>
      <c r="C11" s="8" t="s">
        <v>60</v>
      </c>
      <c r="D11" s="8">
        <f>E10+1</f>
        <v>45</v>
      </c>
      <c r="E11" s="8">
        <f>+Table3[[#This Row],[Field
Length]]+Table3[[#This Row],[Beginning 
Position]]-1</f>
        <v>59</v>
      </c>
      <c r="F11" s="8">
        <v>15</v>
      </c>
      <c r="G11" s="8"/>
    </row>
    <row r="12" spans="1:7">
      <c r="A12" s="8" t="s">
        <v>151</v>
      </c>
      <c r="B12" s="8">
        <f t="shared" si="0"/>
        <v>11</v>
      </c>
      <c r="C12" s="8" t="s">
        <v>57</v>
      </c>
      <c r="D12" s="8">
        <f>E11+1</f>
        <v>60</v>
      </c>
      <c r="E12" s="8">
        <f>+Table3[[#This Row],[Field
Length]]+Table3[[#This Row],[Beginning 
Position]]-1</f>
        <v>75</v>
      </c>
      <c r="F12" s="8">
        <v>16</v>
      </c>
      <c r="G12" s="8"/>
    </row>
    <row r="13" spans="1:7">
      <c r="A13" s="20" t="s">
        <v>151</v>
      </c>
      <c r="B13" s="8">
        <f t="shared" si="0"/>
        <v>12</v>
      </c>
      <c r="C13" s="20" t="s">
        <v>52</v>
      </c>
      <c r="D13" s="8">
        <f>E12+1</f>
        <v>76</v>
      </c>
      <c r="E13" s="8">
        <f>+Table3[[#This Row],[Field
Length]]+Table3[[#This Row],[Beginning 
Position]]-1</f>
        <v>79</v>
      </c>
      <c r="F13" s="8">
        <v>4</v>
      </c>
      <c r="G13" s="20"/>
    </row>
    <row r="14" spans="1:7">
      <c r="A14" s="8" t="s">
        <v>66</v>
      </c>
      <c r="B14" s="8">
        <f t="shared" si="0"/>
        <v>13</v>
      </c>
      <c r="C14" s="8" t="s">
        <v>378</v>
      </c>
      <c r="D14" s="8">
        <v>1</v>
      </c>
      <c r="E14" s="8">
        <f>+Table3[[#This Row],[Field
Length]]+Table3[[#This Row],[Beginning 
Position]]-1</f>
        <v>16</v>
      </c>
      <c r="F14" s="9">
        <v>16</v>
      </c>
      <c r="G14" s="8"/>
    </row>
    <row r="15" spans="1:7">
      <c r="A15" s="8" t="s">
        <v>66</v>
      </c>
      <c r="B15" s="8">
        <f t="shared" si="0"/>
        <v>14</v>
      </c>
      <c r="C15" s="8" t="s">
        <v>20</v>
      </c>
      <c r="D15" s="8">
        <f>E14+1</f>
        <v>17</v>
      </c>
      <c r="E15" s="8">
        <f>+Table3[[#This Row],[Field
Length]]+Table3[[#This Row],[Beginning 
Position]]-1</f>
        <v>24</v>
      </c>
      <c r="F15" s="9">
        <v>8</v>
      </c>
      <c r="G15" s="8"/>
    </row>
    <row r="16" spans="1:7">
      <c r="A16" s="8" t="s">
        <v>66</v>
      </c>
      <c r="B16" s="8">
        <f t="shared" si="0"/>
        <v>15</v>
      </c>
      <c r="C16" s="8" t="s">
        <v>384</v>
      </c>
      <c r="D16" s="8">
        <f>E15+1</f>
        <v>25</v>
      </c>
      <c r="E16" s="8">
        <f>+Table3[[#This Row],[Field
Length]]+Table3[[#This Row],[Beginning 
Position]]-1</f>
        <v>60</v>
      </c>
      <c r="F16" s="9">
        <v>36</v>
      </c>
      <c r="G16" s="8"/>
    </row>
    <row r="17" spans="1:7">
      <c r="A17" s="8" t="s">
        <v>66</v>
      </c>
      <c r="B17" s="8">
        <f t="shared" si="0"/>
        <v>16</v>
      </c>
      <c r="C17" s="8" t="s">
        <v>52</v>
      </c>
      <c r="D17" s="8">
        <f>E16+1</f>
        <v>61</v>
      </c>
      <c r="E17" s="8">
        <f>+Table3[[#This Row],[Field
Length]]+Table3[[#This Row],[Beginning 
Position]]-1</f>
        <v>63</v>
      </c>
      <c r="F17" s="9">
        <v>3</v>
      </c>
      <c r="G17" s="8"/>
    </row>
    <row r="18" spans="1:7">
      <c r="A18" s="20" t="s">
        <v>66</v>
      </c>
      <c r="B18" s="8">
        <f t="shared" si="0"/>
        <v>17</v>
      </c>
      <c r="C18" s="20" t="s">
        <v>403</v>
      </c>
      <c r="D18" s="8">
        <f>E17+1</f>
        <v>64</v>
      </c>
      <c r="E18" s="20">
        <f>+Table3[[#This Row],[Field
Length]]+Table3[[#This Row],[Beginning 
Position]]-1</f>
        <v>83</v>
      </c>
      <c r="F18" s="21">
        <v>20</v>
      </c>
      <c r="G18" s="20"/>
    </row>
    <row r="19" spans="1:7">
      <c r="A19" s="8" t="s">
        <v>51</v>
      </c>
      <c r="B19" s="8">
        <f t="shared" si="0"/>
        <v>18</v>
      </c>
      <c r="C19" s="8" t="s">
        <v>379</v>
      </c>
      <c r="D19" s="8">
        <v>1</v>
      </c>
      <c r="E19" s="8">
        <f>+Table3[[#This Row],[Field
Length]]+Table3[[#This Row],[Beginning 
Position]]-1</f>
        <v>16</v>
      </c>
      <c r="F19" s="8">
        <v>16</v>
      </c>
      <c r="G19" s="8"/>
    </row>
    <row r="20" spans="1:7">
      <c r="A20" s="8" t="s">
        <v>51</v>
      </c>
      <c r="B20" s="8">
        <f t="shared" si="0"/>
        <v>19</v>
      </c>
      <c r="C20" s="8" t="s">
        <v>54</v>
      </c>
      <c r="D20" s="8">
        <f t="shared" ref="D20:D27" si="1">E19+1</f>
        <v>17</v>
      </c>
      <c r="E20" s="8">
        <f>+Table3[[#This Row],[Field
Length]]+Table3[[#This Row],[Beginning 
Position]]-1</f>
        <v>24</v>
      </c>
      <c r="F20" s="9">
        <v>8</v>
      </c>
      <c r="G20" s="8"/>
    </row>
    <row r="21" spans="1:7">
      <c r="A21" s="8" t="s">
        <v>51</v>
      </c>
      <c r="B21" s="8">
        <f t="shared" si="0"/>
        <v>20</v>
      </c>
      <c r="C21" s="8" t="s">
        <v>401</v>
      </c>
      <c r="D21" s="8">
        <f t="shared" si="1"/>
        <v>25</v>
      </c>
      <c r="E21" s="8">
        <f>+Table3[[#This Row],[Field
Length]]+Table3[[#This Row],[Beginning 
Position]]-1</f>
        <v>44</v>
      </c>
      <c r="F21" s="8">
        <v>20</v>
      </c>
      <c r="G21" s="8"/>
    </row>
    <row r="22" spans="1:7">
      <c r="A22" s="8" t="s">
        <v>51</v>
      </c>
      <c r="B22" s="8">
        <f t="shared" si="0"/>
        <v>21</v>
      </c>
      <c r="C22" s="8" t="s">
        <v>55</v>
      </c>
      <c r="D22" s="8">
        <f t="shared" si="1"/>
        <v>45</v>
      </c>
      <c r="E22" s="8">
        <f>+Table3[[#This Row],[Field
Length]]+Table3[[#This Row],[Beginning 
Position]]-1</f>
        <v>47</v>
      </c>
      <c r="F22" s="8">
        <v>3</v>
      </c>
      <c r="G22" s="8"/>
    </row>
    <row r="23" spans="1:7">
      <c r="A23" s="8" t="s">
        <v>51</v>
      </c>
      <c r="B23" s="8">
        <f t="shared" si="0"/>
        <v>22</v>
      </c>
      <c r="C23" s="8" t="s">
        <v>380</v>
      </c>
      <c r="D23" s="8">
        <f t="shared" si="1"/>
        <v>48</v>
      </c>
      <c r="E23" s="8">
        <f>+Table3[[#This Row],[Field
Length]]+Table3[[#This Row],[Beginning 
Position]]-1</f>
        <v>63</v>
      </c>
      <c r="F23" s="8">
        <v>16</v>
      </c>
      <c r="G23" s="8"/>
    </row>
    <row r="24" spans="1:7">
      <c r="A24" s="8" t="s">
        <v>51</v>
      </c>
      <c r="B24" s="8">
        <f t="shared" si="0"/>
        <v>23</v>
      </c>
      <c r="C24" s="8" t="s">
        <v>53</v>
      </c>
      <c r="D24" s="8">
        <f t="shared" si="1"/>
        <v>64</v>
      </c>
      <c r="E24" s="8">
        <f>+Table3[[#This Row],[Field
Length]]+Table3[[#This Row],[Beginning 
Position]]-1</f>
        <v>71</v>
      </c>
      <c r="F24" s="9">
        <v>8</v>
      </c>
      <c r="G24" s="8"/>
    </row>
    <row r="25" spans="1:7">
      <c r="A25" s="8" t="s">
        <v>51</v>
      </c>
      <c r="B25" s="8">
        <f t="shared" si="0"/>
        <v>24</v>
      </c>
      <c r="C25" s="8" t="s">
        <v>402</v>
      </c>
      <c r="D25" s="8">
        <f t="shared" si="1"/>
        <v>72</v>
      </c>
      <c r="E25" s="8">
        <f>+Table3[[#This Row],[Field
Length]]+Table3[[#This Row],[Beginning 
Position]]-1</f>
        <v>91</v>
      </c>
      <c r="F25" s="8">
        <v>20</v>
      </c>
      <c r="G25" s="8"/>
    </row>
    <row r="26" spans="1:7">
      <c r="A26" s="8" t="s">
        <v>51</v>
      </c>
      <c r="B26" s="8">
        <f t="shared" si="0"/>
        <v>25</v>
      </c>
      <c r="C26" s="8" t="s">
        <v>56</v>
      </c>
      <c r="D26" s="8">
        <f t="shared" si="1"/>
        <v>92</v>
      </c>
      <c r="E26" s="8">
        <f>+Table3[[#This Row],[Field
Length]]+Table3[[#This Row],[Beginning 
Position]]-1</f>
        <v>94</v>
      </c>
      <c r="F26" s="8">
        <v>3</v>
      </c>
      <c r="G26" s="8"/>
    </row>
    <row r="27" spans="1:7">
      <c r="A27" s="8" t="s">
        <v>51</v>
      </c>
      <c r="B27" s="8">
        <f t="shared" si="0"/>
        <v>26</v>
      </c>
      <c r="C27" s="8" t="s">
        <v>57</v>
      </c>
      <c r="D27" s="8">
        <f t="shared" si="1"/>
        <v>95</v>
      </c>
      <c r="E27" s="8">
        <f>+Table3[[#This Row],[Field
Length]]+Table3[[#This Row],[Beginning 
Position]]-1</f>
        <v>110</v>
      </c>
      <c r="F27" s="8">
        <v>16</v>
      </c>
      <c r="G27" s="8"/>
    </row>
    <row r="28" spans="1:7">
      <c r="A28" s="8" t="s">
        <v>58</v>
      </c>
      <c r="B28" s="8">
        <f t="shared" si="0"/>
        <v>27</v>
      </c>
      <c r="C28" s="8" t="s">
        <v>378</v>
      </c>
      <c r="D28" s="8">
        <v>1</v>
      </c>
      <c r="E28" s="8">
        <f>+Table3[[#This Row],[Field
Length]]+Table3[[#This Row],[Beginning 
Position]]-1</f>
        <v>16</v>
      </c>
      <c r="F28" s="8">
        <v>16</v>
      </c>
      <c r="G28" s="8"/>
    </row>
    <row r="29" spans="1:7">
      <c r="A29" s="8" t="s">
        <v>58</v>
      </c>
      <c r="B29" s="8">
        <f t="shared" si="0"/>
        <v>28</v>
      </c>
      <c r="C29" s="8" t="s">
        <v>20</v>
      </c>
      <c r="D29" s="8">
        <f>E28+1</f>
        <v>17</v>
      </c>
      <c r="E29" s="8">
        <f>+Table3[[#This Row],[Field
Length]]+Table3[[#This Row],[Beginning 
Position]]-1</f>
        <v>24</v>
      </c>
      <c r="F29" s="9">
        <v>8</v>
      </c>
      <c r="G29" s="8"/>
    </row>
    <row r="30" spans="1:7">
      <c r="A30" s="8" t="s">
        <v>58</v>
      </c>
      <c r="B30" s="8">
        <f t="shared" si="0"/>
        <v>29</v>
      </c>
      <c r="C30" s="8" t="s">
        <v>403</v>
      </c>
      <c r="D30" s="8">
        <f>E29+1</f>
        <v>25</v>
      </c>
      <c r="E30" s="8">
        <f>+Table3[[#This Row],[Field
Length]]+Table3[[#This Row],[Beginning 
Position]]-1</f>
        <v>44</v>
      </c>
      <c r="F30" s="8">
        <v>20</v>
      </c>
      <c r="G30" s="8"/>
    </row>
    <row r="31" spans="1:7">
      <c r="A31" s="8" t="s">
        <v>58</v>
      </c>
      <c r="B31" s="8">
        <f t="shared" si="0"/>
        <v>30</v>
      </c>
      <c r="C31" s="8" t="s">
        <v>52</v>
      </c>
      <c r="D31" s="8">
        <f>E30+1</f>
        <v>45</v>
      </c>
      <c r="E31" s="8">
        <f>+Table3[[#This Row],[Field
Length]]+Table3[[#This Row],[Beginning 
Position]]-1</f>
        <v>47</v>
      </c>
      <c r="F31" s="8">
        <v>3</v>
      </c>
      <c r="G31" s="8"/>
    </row>
    <row r="32" spans="1:7">
      <c r="A32" s="8" t="s">
        <v>58</v>
      </c>
      <c r="B32" s="8">
        <f t="shared" si="0"/>
        <v>31</v>
      </c>
      <c r="C32" s="8" t="s">
        <v>57</v>
      </c>
      <c r="D32" s="8">
        <f>E31+1</f>
        <v>48</v>
      </c>
      <c r="E32" s="8">
        <f>+Table3[[#This Row],[Field
Length]]+Table3[[#This Row],[Beginning 
Position]]-1</f>
        <v>63</v>
      </c>
      <c r="F32" s="8">
        <v>16</v>
      </c>
      <c r="G32" s="8"/>
    </row>
    <row r="33" spans="1:7">
      <c r="A33" s="8" t="s">
        <v>59</v>
      </c>
      <c r="B33" s="8">
        <f t="shared" si="0"/>
        <v>32</v>
      </c>
      <c r="C33" s="8" t="s">
        <v>378</v>
      </c>
      <c r="D33" s="8">
        <v>1</v>
      </c>
      <c r="E33" s="8">
        <f>+Table3[[#This Row],[Field
Length]]+Table3[[#This Row],[Beginning 
Position]]-1</f>
        <v>16</v>
      </c>
      <c r="F33" s="8">
        <v>16</v>
      </c>
      <c r="G33" s="8"/>
    </row>
    <row r="34" spans="1:7">
      <c r="A34" s="8" t="s">
        <v>59</v>
      </c>
      <c r="B34" s="8">
        <f t="shared" ref="B34:B65" si="2">ROW()-1</f>
        <v>33</v>
      </c>
      <c r="C34" s="8" t="s">
        <v>20</v>
      </c>
      <c r="D34" s="8">
        <f>E33+1</f>
        <v>17</v>
      </c>
      <c r="E34" s="8">
        <f>+Table3[[#This Row],[Field
Length]]+Table3[[#This Row],[Beginning 
Position]]-1</f>
        <v>24</v>
      </c>
      <c r="F34" s="9">
        <v>8</v>
      </c>
      <c r="G34" s="8"/>
    </row>
    <row r="35" spans="1:7">
      <c r="A35" s="8" t="s">
        <v>59</v>
      </c>
      <c r="B35" s="8">
        <f t="shared" si="2"/>
        <v>34</v>
      </c>
      <c r="C35" s="8" t="s">
        <v>403</v>
      </c>
      <c r="D35" s="8">
        <f>E34+1</f>
        <v>25</v>
      </c>
      <c r="E35" s="8">
        <f>+Table3[[#This Row],[Field
Length]]+Table3[[#This Row],[Beginning 
Position]]-1</f>
        <v>44</v>
      </c>
      <c r="F35" s="8">
        <v>20</v>
      </c>
      <c r="G35" s="8"/>
    </row>
    <row r="36" spans="1:7">
      <c r="A36" s="8" t="s">
        <v>59</v>
      </c>
      <c r="B36" s="8">
        <f t="shared" si="2"/>
        <v>35</v>
      </c>
      <c r="C36" s="8" t="s">
        <v>52</v>
      </c>
      <c r="D36" s="8">
        <f>E35+1</f>
        <v>45</v>
      </c>
      <c r="E36" s="8">
        <f>+Table3[[#This Row],[Field
Length]]+Table3[[#This Row],[Beginning 
Position]]-1</f>
        <v>48</v>
      </c>
      <c r="F36" s="8">
        <v>4</v>
      </c>
      <c r="G36" s="8"/>
    </row>
    <row r="37" spans="1:7">
      <c r="A37" s="8" t="s">
        <v>59</v>
      </c>
      <c r="B37" s="8">
        <f t="shared" si="2"/>
        <v>36</v>
      </c>
      <c r="C37" s="8" t="s">
        <v>57</v>
      </c>
      <c r="D37" s="8">
        <f>E36+1</f>
        <v>49</v>
      </c>
      <c r="E37" s="8">
        <f>+Table3[[#This Row],[Field
Length]]+Table3[[#This Row],[Beginning 
Position]]-1</f>
        <v>64</v>
      </c>
      <c r="F37" s="8">
        <v>16</v>
      </c>
      <c r="G37" s="8"/>
    </row>
    <row r="38" spans="1:7">
      <c r="A38" s="8" t="s">
        <v>59</v>
      </c>
      <c r="B38" s="8">
        <f t="shared" si="2"/>
        <v>37</v>
      </c>
      <c r="C38" s="8" t="s">
        <v>60</v>
      </c>
      <c r="D38" s="8">
        <f>E37+1</f>
        <v>65</v>
      </c>
      <c r="E38" s="8">
        <f>+Table3[[#This Row],[Field
Length]]+Table3[[#This Row],[Beginning 
Position]]-1</f>
        <v>79</v>
      </c>
      <c r="F38" s="8">
        <v>15</v>
      </c>
      <c r="G38" s="8"/>
    </row>
    <row r="39" spans="1:7">
      <c r="A39" s="8" t="s">
        <v>61</v>
      </c>
      <c r="B39" s="8">
        <f t="shared" si="2"/>
        <v>38</v>
      </c>
      <c r="C39" s="8" t="s">
        <v>378</v>
      </c>
      <c r="D39" s="8">
        <v>1</v>
      </c>
      <c r="E39" s="8">
        <f>+Table3[[#This Row],[Field
Length]]+Table3[[#This Row],[Beginning 
Position]]-1</f>
        <v>16</v>
      </c>
      <c r="F39" s="8">
        <v>16</v>
      </c>
      <c r="G39" s="8"/>
    </row>
    <row r="40" spans="1:7">
      <c r="A40" s="8" t="s">
        <v>61</v>
      </c>
      <c r="B40" s="8">
        <f t="shared" si="2"/>
        <v>39</v>
      </c>
      <c r="C40" s="8" t="s">
        <v>20</v>
      </c>
      <c r="D40" s="8">
        <f>E39+1</f>
        <v>17</v>
      </c>
      <c r="E40" s="8">
        <f>+Table3[[#This Row],[Field
Length]]+Table3[[#This Row],[Beginning 
Position]]-1</f>
        <v>24</v>
      </c>
      <c r="F40" s="9">
        <v>8</v>
      </c>
      <c r="G40" s="8"/>
    </row>
    <row r="41" spans="1:7">
      <c r="A41" s="8" t="s">
        <v>61</v>
      </c>
      <c r="B41" s="8">
        <f t="shared" si="2"/>
        <v>40</v>
      </c>
      <c r="C41" s="8" t="s">
        <v>257</v>
      </c>
      <c r="D41" s="8">
        <f>E40+1</f>
        <v>25</v>
      </c>
      <c r="E41" s="8">
        <f>+Table3[[#This Row],[Field
Length]]+Table3[[#This Row],[Beginning 
Position]]-1</f>
        <v>66</v>
      </c>
      <c r="F41" s="8">
        <v>42</v>
      </c>
      <c r="G41" s="8"/>
    </row>
    <row r="42" spans="1:7">
      <c r="A42" s="20" t="s">
        <v>61</v>
      </c>
      <c r="B42" s="8">
        <f t="shared" si="2"/>
        <v>41</v>
      </c>
      <c r="C42" s="20" t="s">
        <v>256</v>
      </c>
      <c r="D42" s="8">
        <f>E41+1</f>
        <v>67</v>
      </c>
      <c r="E42" s="20">
        <f>+Table3[[#This Row],[Field
Length]]+Table3[[#This Row],[Beginning 
Position]]-1</f>
        <v>82</v>
      </c>
      <c r="F42" s="21">
        <v>16</v>
      </c>
      <c r="G42" s="20"/>
    </row>
    <row r="43" spans="1:7">
      <c r="A43" s="20" t="s">
        <v>61</v>
      </c>
      <c r="B43" s="8">
        <f t="shared" si="2"/>
        <v>42</v>
      </c>
      <c r="C43" s="8" t="s">
        <v>384</v>
      </c>
      <c r="D43" s="8">
        <f>E42+1</f>
        <v>83</v>
      </c>
      <c r="E43" s="20">
        <f>+Table3[[#This Row],[Field
Length]]+Table3[[#This Row],[Beginning 
Position]]-1</f>
        <v>98</v>
      </c>
      <c r="F43" s="21">
        <v>16</v>
      </c>
      <c r="G43" s="55"/>
    </row>
    <row r="44" spans="1:7">
      <c r="A44" s="8" t="s">
        <v>62</v>
      </c>
      <c r="B44" s="8">
        <f t="shared" si="2"/>
        <v>43</v>
      </c>
      <c r="C44" s="8" t="s">
        <v>378</v>
      </c>
      <c r="D44" s="8">
        <v>1</v>
      </c>
      <c r="E44" s="8">
        <f>+Table3[[#This Row],[Field
Length]]+Table3[[#This Row],[Beginning 
Position]]-1</f>
        <v>16</v>
      </c>
      <c r="F44" s="8">
        <v>16</v>
      </c>
      <c r="G44" s="8"/>
    </row>
    <row r="45" spans="1:7">
      <c r="A45" s="8" t="s">
        <v>62</v>
      </c>
      <c r="B45" s="8">
        <f t="shared" si="2"/>
        <v>44</v>
      </c>
      <c r="C45" s="8" t="s">
        <v>20</v>
      </c>
      <c r="D45" s="8">
        <f>E44+1</f>
        <v>17</v>
      </c>
      <c r="E45" s="8">
        <f>+Table3[[#This Row],[Field
Length]]+Table3[[#This Row],[Beginning 
Position]]-1</f>
        <v>24</v>
      </c>
      <c r="F45" s="9">
        <v>8</v>
      </c>
      <c r="G45" s="8"/>
    </row>
    <row r="46" spans="1:7">
      <c r="A46" s="8" t="s">
        <v>63</v>
      </c>
      <c r="B46" s="8">
        <f t="shared" si="2"/>
        <v>45</v>
      </c>
      <c r="C46" s="8" t="s">
        <v>378</v>
      </c>
      <c r="D46" s="8">
        <v>1</v>
      </c>
      <c r="E46" s="8">
        <f>+Table3[[#This Row],[Field
Length]]+Table3[[#This Row],[Beginning 
Position]]-1</f>
        <v>16</v>
      </c>
      <c r="F46" s="8">
        <v>16</v>
      </c>
      <c r="G46" s="8"/>
    </row>
    <row r="47" spans="1:7">
      <c r="A47" s="8" t="s">
        <v>63</v>
      </c>
      <c r="B47" s="8">
        <f t="shared" si="2"/>
        <v>46</v>
      </c>
      <c r="C47" s="8" t="s">
        <v>20</v>
      </c>
      <c r="D47" s="8">
        <f>E46+1</f>
        <v>17</v>
      </c>
      <c r="E47" s="8">
        <f>+Table3[[#This Row],[Field
Length]]+Table3[[#This Row],[Beginning 
Position]]-1</f>
        <v>24</v>
      </c>
      <c r="F47" s="9">
        <v>8</v>
      </c>
      <c r="G47" s="8"/>
    </row>
    <row r="48" spans="1:7">
      <c r="A48" s="8" t="s">
        <v>63</v>
      </c>
      <c r="B48" s="8">
        <f t="shared" si="2"/>
        <v>47</v>
      </c>
      <c r="C48" s="8" t="s">
        <v>384</v>
      </c>
      <c r="D48" s="8">
        <f>E47+1</f>
        <v>25</v>
      </c>
      <c r="E48" s="8">
        <f>+Table3[[#This Row],[Field
Length]]+Table3[[#This Row],[Beginning 
Position]]-1</f>
        <v>60</v>
      </c>
      <c r="F48" s="8">
        <v>36</v>
      </c>
      <c r="G48" s="8"/>
    </row>
    <row r="49" spans="1:7">
      <c r="A49" s="8" t="s">
        <v>63</v>
      </c>
      <c r="B49" s="8">
        <f t="shared" si="2"/>
        <v>48</v>
      </c>
      <c r="C49" s="8" t="s">
        <v>60</v>
      </c>
      <c r="D49" s="8">
        <f>E48+1</f>
        <v>61</v>
      </c>
      <c r="E49" s="8">
        <f>+Table3[[#This Row],[Field
Length]]+Table3[[#This Row],[Beginning 
Position]]-1</f>
        <v>66</v>
      </c>
      <c r="F49" s="8">
        <v>6</v>
      </c>
      <c r="G49" s="8"/>
    </row>
    <row r="50" spans="1:7">
      <c r="A50" s="20" t="s">
        <v>63</v>
      </c>
      <c r="B50" s="8">
        <f t="shared" si="2"/>
        <v>49</v>
      </c>
      <c r="C50" s="20" t="s">
        <v>403</v>
      </c>
      <c r="D50" s="8">
        <f>E49+1</f>
        <v>67</v>
      </c>
      <c r="E50" s="20">
        <f>+Table3[[#This Row],[Field
Length]]+Table3[[#This Row],[Beginning 
Position]]-1</f>
        <v>86</v>
      </c>
      <c r="F50" s="21">
        <v>20</v>
      </c>
      <c r="G50" s="20"/>
    </row>
    <row r="51" spans="1:7">
      <c r="A51" s="8" t="s">
        <v>64</v>
      </c>
      <c r="B51" s="8">
        <f t="shared" si="2"/>
        <v>50</v>
      </c>
      <c r="C51" s="8" t="s">
        <v>92</v>
      </c>
      <c r="D51" s="8">
        <v>1</v>
      </c>
      <c r="E51" s="8">
        <f>+Table3[[#This Row],[Field
Length]]+Table3[[#This Row],[Beginning 
Position]]-1</f>
        <v>22</v>
      </c>
      <c r="F51" s="8">
        <v>22</v>
      </c>
      <c r="G51" s="8"/>
    </row>
    <row r="52" spans="1:7">
      <c r="A52" s="8" t="s">
        <v>64</v>
      </c>
      <c r="B52" s="8">
        <f t="shared" si="2"/>
        <v>51</v>
      </c>
      <c r="C52" s="8" t="s">
        <v>93</v>
      </c>
      <c r="D52" s="8">
        <f>E51+1</f>
        <v>23</v>
      </c>
      <c r="E52" s="8">
        <f>+Table3[[#This Row],[Field
Length]]+Table3[[#This Row],[Beginning 
Position]]-1</f>
        <v>31</v>
      </c>
      <c r="F52" s="8">
        <v>9</v>
      </c>
      <c r="G52" s="8"/>
    </row>
    <row r="53" spans="1:7">
      <c r="A53" s="8" t="s">
        <v>65</v>
      </c>
      <c r="B53" s="8">
        <f t="shared" si="2"/>
        <v>52</v>
      </c>
      <c r="C53" s="8" t="s">
        <v>378</v>
      </c>
      <c r="D53" s="8">
        <v>1</v>
      </c>
      <c r="E53" s="8">
        <f>+Table3[[#This Row],[Field
Length]]+Table3[[#This Row],[Beginning 
Position]]-1</f>
        <v>16</v>
      </c>
      <c r="F53" s="8">
        <v>16</v>
      </c>
      <c r="G53" s="8"/>
    </row>
    <row r="54" spans="1:7">
      <c r="A54" s="8" t="s">
        <v>65</v>
      </c>
      <c r="B54" s="8">
        <f t="shared" si="2"/>
        <v>53</v>
      </c>
      <c r="C54" s="8" t="s">
        <v>20</v>
      </c>
      <c r="D54" s="8">
        <f>E53+1</f>
        <v>17</v>
      </c>
      <c r="E54" s="8">
        <f>+Table3[[#This Row],[Field
Length]]+Table3[[#This Row],[Beginning 
Position]]-1</f>
        <v>24</v>
      </c>
      <c r="F54" s="9">
        <v>8</v>
      </c>
      <c r="G54" s="8"/>
    </row>
    <row r="55" spans="1:7">
      <c r="A55" s="8" t="s">
        <v>65</v>
      </c>
      <c r="B55" s="8">
        <f t="shared" si="2"/>
        <v>54</v>
      </c>
      <c r="C55" s="8" t="s">
        <v>403</v>
      </c>
      <c r="D55" s="8">
        <f>E54+1</f>
        <v>25</v>
      </c>
      <c r="E55" s="8">
        <f>+Table3[[#This Row],[Field
Length]]+Table3[[#This Row],[Beginning 
Position]]-1</f>
        <v>44</v>
      </c>
      <c r="F55" s="8">
        <v>20</v>
      </c>
      <c r="G55" s="8"/>
    </row>
    <row r="56" spans="1:7">
      <c r="A56" s="12" t="s">
        <v>86</v>
      </c>
      <c r="B56" s="8">
        <f t="shared" si="2"/>
        <v>55</v>
      </c>
      <c r="C56" s="10" t="s">
        <v>20</v>
      </c>
      <c r="D56" s="10">
        <v>1</v>
      </c>
      <c r="E56" s="8">
        <f>+Table3[[#This Row],[Field
Length]]+Table3[[#This Row],[Beginning 
Position]]-1</f>
        <v>8</v>
      </c>
      <c r="F56" s="11">
        <v>8</v>
      </c>
      <c r="G56" s="10"/>
    </row>
    <row r="57" spans="1:7">
      <c r="A57" s="8" t="s">
        <v>86</v>
      </c>
      <c r="B57" s="8">
        <f t="shared" si="2"/>
        <v>56</v>
      </c>
      <c r="C57" s="8" t="s">
        <v>381</v>
      </c>
      <c r="D57" s="8">
        <f t="shared" ref="D57:D63" si="3">E56+1</f>
        <v>9</v>
      </c>
      <c r="E57" s="8">
        <f>+Table3[[#This Row],[Field
Length]]+Table3[[#This Row],[Beginning 
Position]]-1</f>
        <v>24</v>
      </c>
      <c r="F57" s="9">
        <v>16</v>
      </c>
      <c r="G57" s="8"/>
    </row>
    <row r="58" spans="1:7">
      <c r="A58" s="8" t="s">
        <v>86</v>
      </c>
      <c r="B58" s="8">
        <f t="shared" si="2"/>
        <v>57</v>
      </c>
      <c r="C58" s="8" t="s">
        <v>403</v>
      </c>
      <c r="D58" s="8">
        <f t="shared" si="3"/>
        <v>25</v>
      </c>
      <c r="E58" s="8">
        <f>+Table3[[#This Row],[Field
Length]]+Table3[[#This Row],[Beginning 
Position]]-1</f>
        <v>44</v>
      </c>
      <c r="F58" s="9">
        <v>20</v>
      </c>
      <c r="G58" s="8"/>
    </row>
    <row r="59" spans="1:7">
      <c r="A59" s="8" t="s">
        <v>86</v>
      </c>
      <c r="B59" s="8">
        <f t="shared" si="2"/>
        <v>58</v>
      </c>
      <c r="C59" s="8" t="s">
        <v>87</v>
      </c>
      <c r="D59" s="8">
        <f t="shared" si="3"/>
        <v>45</v>
      </c>
      <c r="E59" s="8">
        <f>+Table3[[#This Row],[Field
Length]]+Table3[[#This Row],[Beginning 
Position]]-1</f>
        <v>59</v>
      </c>
      <c r="F59" s="9">
        <v>15</v>
      </c>
      <c r="G59" s="8"/>
    </row>
    <row r="60" spans="1:7">
      <c r="A60" s="8" t="s">
        <v>86</v>
      </c>
      <c r="B60" s="8">
        <f t="shared" si="2"/>
        <v>59</v>
      </c>
      <c r="C60" s="8" t="s">
        <v>88</v>
      </c>
      <c r="D60" s="8">
        <f t="shared" si="3"/>
        <v>60</v>
      </c>
      <c r="E60" s="8">
        <f>+Table3[[#This Row],[Field
Length]]+Table3[[#This Row],[Beginning 
Position]]-1</f>
        <v>79</v>
      </c>
      <c r="F60" s="9">
        <v>20</v>
      </c>
      <c r="G60" s="8"/>
    </row>
    <row r="61" spans="1:7">
      <c r="A61" s="8" t="s">
        <v>89</v>
      </c>
      <c r="B61" s="8">
        <f t="shared" si="2"/>
        <v>60</v>
      </c>
      <c r="C61" s="8" t="s">
        <v>381</v>
      </c>
      <c r="D61" s="8">
        <f t="shared" si="3"/>
        <v>80</v>
      </c>
      <c r="E61" s="8">
        <f>+Table3[[#This Row],[Field
Length]]+Table3[[#This Row],[Beginning 
Position]]-1</f>
        <v>95</v>
      </c>
      <c r="F61" s="9">
        <v>16</v>
      </c>
      <c r="G61" s="8"/>
    </row>
    <row r="62" spans="1:7">
      <c r="A62" s="8" t="s">
        <v>89</v>
      </c>
      <c r="B62" s="8">
        <f t="shared" si="2"/>
        <v>61</v>
      </c>
      <c r="C62" s="8" t="s">
        <v>403</v>
      </c>
      <c r="D62" s="8">
        <f t="shared" si="3"/>
        <v>96</v>
      </c>
      <c r="E62" s="8">
        <f>+Table3[[#This Row],[Field
Length]]+Table3[[#This Row],[Beginning 
Position]]-1</f>
        <v>115</v>
      </c>
      <c r="F62" s="9">
        <v>20</v>
      </c>
      <c r="G62" s="8"/>
    </row>
    <row r="63" spans="1:7">
      <c r="A63" s="8" t="s">
        <v>89</v>
      </c>
      <c r="B63" s="8">
        <f t="shared" si="2"/>
        <v>62</v>
      </c>
      <c r="C63" s="8" t="s">
        <v>382</v>
      </c>
      <c r="D63" s="8">
        <f t="shared" si="3"/>
        <v>116</v>
      </c>
      <c r="E63" s="8">
        <f>+Table3[[#This Row],[Field
Length]]+Table3[[#This Row],[Beginning 
Position]]-1</f>
        <v>129</v>
      </c>
      <c r="F63" s="9">
        <v>14</v>
      </c>
      <c r="G63" s="8"/>
    </row>
    <row r="64" spans="1:7">
      <c r="A64" s="8" t="s">
        <v>89</v>
      </c>
      <c r="B64" s="8">
        <f t="shared" si="2"/>
        <v>63</v>
      </c>
      <c r="C64" s="8" t="s">
        <v>20</v>
      </c>
      <c r="D64" s="8">
        <v>1</v>
      </c>
      <c r="E64" s="8">
        <f>+Table3[[#This Row],[Field
Length]]+Table3[[#This Row],[Beginning 
Position]]-1</f>
        <v>8</v>
      </c>
      <c r="F64" s="9">
        <v>8</v>
      </c>
      <c r="G64" s="8"/>
    </row>
    <row r="65" spans="1:7">
      <c r="A65" s="23" t="s">
        <v>89</v>
      </c>
      <c r="B65" s="8">
        <f t="shared" si="2"/>
        <v>64</v>
      </c>
      <c r="C65" s="23" t="s">
        <v>384</v>
      </c>
      <c r="D65" s="23">
        <f>E64+1</f>
        <v>9</v>
      </c>
      <c r="E65" s="23">
        <f>+Table3[[#This Row],[Field
Length]]+Table3[[#This Row],[Beginning 
Position]]-1</f>
        <v>44</v>
      </c>
      <c r="F65" s="24">
        <v>36</v>
      </c>
      <c r="G65" s="23"/>
    </row>
    <row r="66" spans="1:7">
      <c r="A66" s="10" t="s">
        <v>147</v>
      </c>
      <c r="B66" s="8">
        <f t="shared" ref="B66:B89" si="4">ROW()-1</f>
        <v>65</v>
      </c>
      <c r="C66" s="10" t="s">
        <v>112</v>
      </c>
      <c r="D66" s="10">
        <v>1</v>
      </c>
      <c r="E66" s="8">
        <f>+Table3[[#This Row],[Field
Length]]+Table3[[#This Row],[Beginning 
Position]]-1</f>
        <v>9</v>
      </c>
      <c r="F66" s="10">
        <v>9</v>
      </c>
      <c r="G66" s="10"/>
    </row>
    <row r="67" spans="1:7">
      <c r="A67" s="10" t="s">
        <v>147</v>
      </c>
      <c r="B67" s="8">
        <f t="shared" si="4"/>
        <v>66</v>
      </c>
      <c r="C67" s="10" t="s">
        <v>378</v>
      </c>
      <c r="D67" s="8">
        <f>E66+1</f>
        <v>10</v>
      </c>
      <c r="E67" s="8">
        <f>+Table3[[#This Row],[Field
Length]]+Table3[[#This Row],[Beginning 
Position]]-1</f>
        <v>25</v>
      </c>
      <c r="F67" s="10">
        <v>16</v>
      </c>
      <c r="G67" s="10"/>
    </row>
    <row r="68" spans="1:7">
      <c r="A68" s="10" t="s">
        <v>147</v>
      </c>
      <c r="B68" s="8">
        <f t="shared" si="4"/>
        <v>67</v>
      </c>
      <c r="C68" s="10" t="s">
        <v>20</v>
      </c>
      <c r="D68" s="8">
        <f>E67+1</f>
        <v>26</v>
      </c>
      <c r="E68" s="8">
        <f>+Table3[[#This Row],[Field
Length]]+Table3[[#This Row],[Beginning 
Position]]-1</f>
        <v>33</v>
      </c>
      <c r="F68" s="11">
        <v>8</v>
      </c>
      <c r="G68" s="10"/>
    </row>
    <row r="69" spans="1:7">
      <c r="A69" s="10" t="s">
        <v>147</v>
      </c>
      <c r="B69" s="8">
        <f t="shared" si="4"/>
        <v>68</v>
      </c>
      <c r="C69" s="10" t="s">
        <v>384</v>
      </c>
      <c r="D69" s="8">
        <f>E68+1</f>
        <v>34</v>
      </c>
      <c r="E69" s="8">
        <f>+Table3[[#This Row],[Field
Length]]+Table3[[#This Row],[Beginning 
Position]]-1</f>
        <v>69</v>
      </c>
      <c r="F69" s="10">
        <v>36</v>
      </c>
      <c r="G69" s="10"/>
    </row>
    <row r="70" spans="1:7">
      <c r="A70" s="25" t="s">
        <v>742</v>
      </c>
      <c r="B70" s="8">
        <f t="shared" si="4"/>
        <v>69</v>
      </c>
      <c r="C70" s="27" t="s">
        <v>741</v>
      </c>
      <c r="D70" s="27">
        <v>1</v>
      </c>
      <c r="E70" s="23">
        <v>24</v>
      </c>
      <c r="F70" s="28">
        <v>24</v>
      </c>
      <c r="G70" s="26"/>
    </row>
    <row r="71" spans="1:7">
      <c r="A71" s="56" t="s">
        <v>148</v>
      </c>
      <c r="B71" s="8">
        <f t="shared" si="4"/>
        <v>70</v>
      </c>
      <c r="C71" s="10" t="s">
        <v>112</v>
      </c>
      <c r="D71" s="10">
        <v>1</v>
      </c>
      <c r="E71" s="8">
        <f>+Table3[[#This Row],[Field
Length]]+Table3[[#This Row],[Beginning 
Position]]-1</f>
        <v>9</v>
      </c>
      <c r="F71" s="10">
        <v>9</v>
      </c>
      <c r="G71" s="10"/>
    </row>
    <row r="72" spans="1:7">
      <c r="A72" s="56" t="s">
        <v>148</v>
      </c>
      <c r="B72" s="8">
        <f t="shared" si="4"/>
        <v>71</v>
      </c>
      <c r="C72" s="58" t="s">
        <v>39</v>
      </c>
      <c r="D72" s="8">
        <f>E71+1</f>
        <v>10</v>
      </c>
      <c r="E72" s="8">
        <f>+Table3[[#This Row],[Field
Length]]+Table3[[#This Row],[Beginning 
Position]]-1</f>
        <v>33</v>
      </c>
      <c r="F72" s="10">
        <v>24</v>
      </c>
      <c r="G72" s="10"/>
    </row>
    <row r="73" spans="1:7">
      <c r="A73" s="10" t="s">
        <v>149</v>
      </c>
      <c r="B73" s="8">
        <f t="shared" si="4"/>
        <v>72</v>
      </c>
      <c r="C73" s="57" t="s">
        <v>112</v>
      </c>
      <c r="D73" s="57">
        <v>1</v>
      </c>
      <c r="E73" s="8">
        <f>+Table3[[#This Row],[Field
Length]]+Table3[[#This Row],[Beginning 
Position]]-1</f>
        <v>9</v>
      </c>
      <c r="F73" s="57">
        <v>9</v>
      </c>
      <c r="G73" s="10"/>
    </row>
    <row r="74" spans="1:7">
      <c r="A74" s="10" t="s">
        <v>149</v>
      </c>
      <c r="B74" s="8">
        <f t="shared" si="4"/>
        <v>73</v>
      </c>
      <c r="C74" s="10" t="s">
        <v>67</v>
      </c>
      <c r="D74" s="57">
        <f>E73+1</f>
        <v>10</v>
      </c>
      <c r="E74" s="8">
        <f>+Table3[[#This Row],[Field
Length]]+Table3[[#This Row],[Beginning 
Position]]-1</f>
        <v>33</v>
      </c>
      <c r="F74" s="57">
        <v>24</v>
      </c>
      <c r="G74" s="10"/>
    </row>
    <row r="75" spans="1:7">
      <c r="A75" s="10" t="s">
        <v>149</v>
      </c>
      <c r="B75" s="8">
        <f t="shared" si="4"/>
        <v>74</v>
      </c>
      <c r="C75" s="10" t="s">
        <v>39</v>
      </c>
      <c r="D75" s="57">
        <f>E74+1</f>
        <v>34</v>
      </c>
      <c r="E75" s="8">
        <f>+Table3[[#This Row],[Field
Length]]+Table3[[#This Row],[Beginning 
Position]]-1</f>
        <v>57</v>
      </c>
      <c r="F75" s="57">
        <v>24</v>
      </c>
      <c r="G75" s="10"/>
    </row>
    <row r="76" spans="1:7">
      <c r="A76" s="22" t="s">
        <v>297</v>
      </c>
      <c r="B76" s="8">
        <f t="shared" si="4"/>
        <v>75</v>
      </c>
      <c r="C76" s="22" t="s">
        <v>298</v>
      </c>
      <c r="D76" s="59">
        <v>1</v>
      </c>
      <c r="E76" s="20">
        <v>60</v>
      </c>
      <c r="F76" s="60">
        <f>+Table3[[#This Row],[Ending 
Position
(inclusive)]]-Table3[[#This Row],[Beginning 
Position]]+1</f>
        <v>60</v>
      </c>
      <c r="G76" s="22"/>
    </row>
    <row r="77" spans="1:7">
      <c r="A77" s="22" t="s">
        <v>313</v>
      </c>
      <c r="B77" s="8">
        <f t="shared" si="4"/>
        <v>76</v>
      </c>
      <c r="C77" s="22" t="s">
        <v>112</v>
      </c>
      <c r="D77" s="57">
        <v>1</v>
      </c>
      <c r="E77" s="8">
        <f>+Table3[[#This Row],[Field
Length]]+Table3[[#This Row],[Beginning 
Position]]-1</f>
        <v>9</v>
      </c>
      <c r="F77" s="57">
        <v>9</v>
      </c>
      <c r="G77" s="22"/>
    </row>
    <row r="78" spans="1:7">
      <c r="A78" s="22" t="s">
        <v>313</v>
      </c>
      <c r="B78" s="8">
        <f t="shared" si="4"/>
        <v>77</v>
      </c>
      <c r="C78" s="22" t="s">
        <v>67</v>
      </c>
      <c r="D78" s="57">
        <f>E77+1</f>
        <v>10</v>
      </c>
      <c r="E78" s="8">
        <f>+Table3[[#This Row],[Field
Length]]+Table3[[#This Row],[Beginning 
Position]]-1</f>
        <v>33</v>
      </c>
      <c r="F78" s="57">
        <v>24</v>
      </c>
      <c r="G78" s="22"/>
    </row>
    <row r="79" spans="1:7">
      <c r="A79" s="22" t="s">
        <v>313</v>
      </c>
      <c r="B79" s="8">
        <f t="shared" si="4"/>
        <v>78</v>
      </c>
      <c r="C79" s="22" t="s">
        <v>39</v>
      </c>
      <c r="D79" s="57">
        <f>E78+1</f>
        <v>34</v>
      </c>
      <c r="E79" s="8">
        <f>+Table3[[#This Row],[Field
Length]]+Table3[[#This Row],[Beginning 
Position]]-1</f>
        <v>57</v>
      </c>
      <c r="F79" s="57">
        <v>24</v>
      </c>
      <c r="G79" s="22"/>
    </row>
    <row r="80" spans="1:7">
      <c r="A80" s="22" t="s">
        <v>313</v>
      </c>
      <c r="B80" s="8">
        <f t="shared" si="4"/>
        <v>79</v>
      </c>
      <c r="C80" s="22" t="s">
        <v>314</v>
      </c>
      <c r="D80" s="8">
        <f>E79+1</f>
        <v>58</v>
      </c>
      <c r="E80" s="8">
        <f>+Table3[[#This Row],[Field
Length]]+Table3[[#This Row],[Beginning 
Position]]-1</f>
        <v>60</v>
      </c>
      <c r="F80" s="10">
        <v>3</v>
      </c>
      <c r="G80" s="22" t="s">
        <v>315</v>
      </c>
    </row>
    <row r="81" spans="1:7">
      <c r="A81" s="29" t="s">
        <v>340</v>
      </c>
      <c r="B81" s="8">
        <f t="shared" si="4"/>
        <v>80</v>
      </c>
      <c r="C81" s="29" t="s">
        <v>112</v>
      </c>
      <c r="D81" s="29">
        <v>1</v>
      </c>
      <c r="E81" s="23">
        <f>+Table3[[#This Row],[Field
Length]]+Table3[[#This Row],[Beginning 
Position]]-1</f>
        <v>9</v>
      </c>
      <c r="F81" s="30">
        <v>9</v>
      </c>
      <c r="G81" s="29"/>
    </row>
    <row r="82" spans="1:7">
      <c r="A82" s="29" t="s">
        <v>340</v>
      </c>
      <c r="B82" s="8">
        <f t="shared" si="4"/>
        <v>81</v>
      </c>
      <c r="C82" s="29" t="s">
        <v>378</v>
      </c>
      <c r="D82" s="23">
        <v>10</v>
      </c>
      <c r="E82" s="23">
        <f>+Table3[[#This Row],[Field
Length]]+Table3[[#This Row],[Beginning 
Position]]-1</f>
        <v>25</v>
      </c>
      <c r="F82" s="30">
        <v>16</v>
      </c>
      <c r="G82" s="29"/>
    </row>
    <row r="83" spans="1:7">
      <c r="A83" s="29" t="s">
        <v>340</v>
      </c>
      <c r="B83" s="8">
        <f t="shared" si="4"/>
        <v>82</v>
      </c>
      <c r="C83" s="29" t="s">
        <v>384</v>
      </c>
      <c r="D83" s="23">
        <v>26</v>
      </c>
      <c r="E83" s="23">
        <f>+Table3[[#This Row],[Field
Length]]+Table3[[#This Row],[Beginning 
Position]]-1</f>
        <v>61</v>
      </c>
      <c r="F83" s="24">
        <v>36</v>
      </c>
      <c r="G83" s="23"/>
    </row>
    <row r="84" spans="1:7">
      <c r="A84" s="29" t="s">
        <v>341</v>
      </c>
      <c r="B84" s="8">
        <f t="shared" si="4"/>
        <v>83</v>
      </c>
      <c r="C84" s="29" t="s">
        <v>112</v>
      </c>
      <c r="D84" s="29">
        <v>1</v>
      </c>
      <c r="E84" s="23">
        <f>+Table3[[#This Row],[Field
Length]]+Table3[[#This Row],[Beginning 
Position]]-1</f>
        <v>9</v>
      </c>
      <c r="F84" s="30">
        <v>9</v>
      </c>
      <c r="G84" s="29"/>
    </row>
    <row r="85" spans="1:7">
      <c r="A85" s="29" t="s">
        <v>354</v>
      </c>
      <c r="B85" s="8">
        <f t="shared" si="4"/>
        <v>84</v>
      </c>
      <c r="C85" s="29" t="s">
        <v>355</v>
      </c>
      <c r="D85" s="29">
        <v>1</v>
      </c>
      <c r="E85" s="23">
        <f>+Table3[[#This Row],[Field
Length]]+Table3[[#This Row],[Beginning 
Position]]-1</f>
        <v>24</v>
      </c>
      <c r="F85" s="30">
        <v>24</v>
      </c>
      <c r="G85" s="29"/>
    </row>
    <row r="86" spans="1:7">
      <c r="A86" s="29" t="s">
        <v>354</v>
      </c>
      <c r="B86" s="8">
        <f t="shared" si="4"/>
        <v>85</v>
      </c>
      <c r="C86" s="29" t="s">
        <v>356</v>
      </c>
      <c r="D86" s="29">
        <f>E85+1</f>
        <v>25</v>
      </c>
      <c r="E86" s="23">
        <f>+Table3[[#This Row],[Field
Length]]+Table3[[#This Row],[Beginning 
Position]]-1</f>
        <v>40</v>
      </c>
      <c r="F86" s="30">
        <v>16</v>
      </c>
      <c r="G86" s="29"/>
    </row>
    <row r="87" spans="1:7">
      <c r="A87" s="29" t="s">
        <v>736</v>
      </c>
      <c r="B87" s="8">
        <f t="shared" si="4"/>
        <v>86</v>
      </c>
      <c r="C87" s="29" t="s">
        <v>355</v>
      </c>
      <c r="D87" s="29">
        <v>1</v>
      </c>
      <c r="E87" s="23">
        <f>+Table3[[#This Row],[Field
Length]]+Table3[[#This Row],[Beginning 
Position]]-1</f>
        <v>24</v>
      </c>
      <c r="F87" s="30">
        <v>24</v>
      </c>
      <c r="G87" s="29"/>
    </row>
    <row r="88" spans="1:7">
      <c r="A88" s="29" t="s">
        <v>736</v>
      </c>
      <c r="B88" s="8">
        <f t="shared" si="4"/>
        <v>87</v>
      </c>
      <c r="C88" s="29" t="s">
        <v>356</v>
      </c>
      <c r="D88" s="29">
        <f>E87+1</f>
        <v>25</v>
      </c>
      <c r="E88" s="23">
        <f>+Table3[[#This Row],[Field
Length]]+Table3[[#This Row],[Beginning 
Position]]-1</f>
        <v>40</v>
      </c>
      <c r="F88" s="30">
        <v>16</v>
      </c>
      <c r="G88" s="29"/>
    </row>
    <row r="89" spans="1:7">
      <c r="A89" s="29" t="s">
        <v>736</v>
      </c>
      <c r="B89" s="8">
        <f t="shared" si="4"/>
        <v>88</v>
      </c>
      <c r="C89" s="29" t="s">
        <v>737</v>
      </c>
      <c r="D89" s="29">
        <f>E88+1</f>
        <v>41</v>
      </c>
      <c r="E89" s="23">
        <f>+Table3[[#This Row],[Field
Length]]+Table3[[#This Row],[Beginning 
Position]]-1</f>
        <v>72</v>
      </c>
      <c r="F89" s="30">
        <v>32</v>
      </c>
      <c r="G89" s="29"/>
    </row>
    <row r="90" spans="1:7">
      <c r="A90" s="55" t="s">
        <v>897</v>
      </c>
      <c r="B90" s="55">
        <v>89</v>
      </c>
      <c r="C90" s="55" t="s">
        <v>898</v>
      </c>
      <c r="D90" s="55">
        <v>1</v>
      </c>
      <c r="E90" s="55">
        <v>28</v>
      </c>
      <c r="F90" s="65">
        <f>+Table3[[#This Row],[Ending 
Position
(inclusive)]]-Table3[[#This Row],[Beginning 
Position]]+1</f>
        <v>28</v>
      </c>
      <c r="G90" s="55"/>
    </row>
    <row r="91" spans="1:7">
      <c r="A91" s="55" t="s">
        <v>897</v>
      </c>
      <c r="B91" s="55">
        <v>90</v>
      </c>
      <c r="C91" s="55" t="s">
        <v>899</v>
      </c>
      <c r="D91" s="55">
        <v>29</v>
      </c>
      <c r="E91" s="55">
        <v>56</v>
      </c>
      <c r="F91" s="65">
        <f>+Table3[[#This Row],[Ending 
Position
(inclusive)]]-Table3[[#This Row],[Beginning 
Position]]+1</f>
        <v>28</v>
      </c>
      <c r="G91" s="55"/>
    </row>
    <row r="92" spans="1:7">
      <c r="A92" s="55" t="s">
        <v>897</v>
      </c>
      <c r="B92" s="55">
        <v>91</v>
      </c>
      <c r="C92" s="55" t="s">
        <v>900</v>
      </c>
      <c r="D92" s="55">
        <v>57</v>
      </c>
      <c r="E92" s="55">
        <v>72</v>
      </c>
      <c r="F92" s="65">
        <f>+Table3[[#This Row],[Ending 
Position
(inclusive)]]-Table3[[#This Row],[Beginning 
Position]]+1</f>
        <v>16</v>
      </c>
      <c r="G92" s="55"/>
    </row>
    <row r="93" spans="1:7">
      <c r="A93" s="55" t="s">
        <v>897</v>
      </c>
      <c r="B93" s="55">
        <v>92</v>
      </c>
      <c r="C93" s="55" t="s">
        <v>901</v>
      </c>
      <c r="D93" s="55">
        <v>73</v>
      </c>
      <c r="E93" s="55">
        <v>88</v>
      </c>
      <c r="F93" s="65">
        <f>+Table3[[#This Row],[Ending 
Position
(inclusive)]]-Table3[[#This Row],[Beginning 
Position]]+1</f>
        <v>16</v>
      </c>
      <c r="G93" s="55"/>
    </row>
    <row r="94" spans="1:7">
      <c r="A94" s="55" t="s">
        <v>897</v>
      </c>
      <c r="B94" s="55">
        <v>93</v>
      </c>
      <c r="C94" s="55" t="s">
        <v>902</v>
      </c>
      <c r="D94" s="55">
        <v>89</v>
      </c>
      <c r="E94" s="55">
        <v>128</v>
      </c>
      <c r="F94" s="65">
        <f>+Table3[[#This Row],[Ending 
Position
(inclusive)]]-Table3[[#This Row],[Beginning 
Position]]+1</f>
        <v>40</v>
      </c>
      <c r="G94" s="55"/>
    </row>
    <row r="95" spans="1:7">
      <c r="A95" s="55" t="s">
        <v>903</v>
      </c>
      <c r="B95" s="55">
        <v>94</v>
      </c>
      <c r="C95" s="55" t="s">
        <v>904</v>
      </c>
      <c r="D95" s="55">
        <v>1</v>
      </c>
      <c r="E95" s="55">
        <v>28</v>
      </c>
      <c r="F95" s="65">
        <f>+Table3[[#This Row],[Ending 
Position
(inclusive)]]-Table3[[#This Row],[Beginning 
Position]]+1</f>
        <v>28</v>
      </c>
      <c r="G95" s="55"/>
    </row>
    <row r="96" spans="1:7">
      <c r="A96" s="55" t="s">
        <v>903</v>
      </c>
      <c r="B96" s="55">
        <v>95</v>
      </c>
      <c r="C96" s="55" t="s">
        <v>898</v>
      </c>
      <c r="D96" s="55">
        <v>29</v>
      </c>
      <c r="E96" s="55">
        <v>56</v>
      </c>
      <c r="F96" s="65">
        <f>+Table3[[#This Row],[Ending 
Position
(inclusive)]]-Table3[[#This Row],[Beginning 
Position]]+1</f>
        <v>28</v>
      </c>
      <c r="G96" s="55"/>
    </row>
    <row r="97" spans="1:7">
      <c r="A97" s="55" t="s">
        <v>903</v>
      </c>
      <c r="B97" s="55">
        <v>96</v>
      </c>
      <c r="C97" s="55" t="s">
        <v>905</v>
      </c>
      <c r="D97" s="55">
        <v>57</v>
      </c>
      <c r="E97" s="55">
        <v>66</v>
      </c>
      <c r="F97" s="65">
        <f>+Table3[[#This Row],[Ending 
Position
(inclusive)]]-Table3[[#This Row],[Beginning 
Position]]+1</f>
        <v>10</v>
      </c>
      <c r="G97" s="55"/>
    </row>
    <row r="98" spans="1:7">
      <c r="A98" s="55" t="s">
        <v>903</v>
      </c>
      <c r="B98" s="55">
        <v>97</v>
      </c>
      <c r="C98" s="55" t="s">
        <v>906</v>
      </c>
      <c r="D98" s="55">
        <v>67</v>
      </c>
      <c r="E98" s="55">
        <v>96</v>
      </c>
      <c r="F98" s="65">
        <f>+Table3[[#This Row],[Ending 
Position
(inclusive)]]-Table3[[#This Row],[Beginning 
Position]]+1</f>
        <v>30</v>
      </c>
      <c r="G98" s="55"/>
    </row>
    <row r="99" spans="1:7">
      <c r="A99" s="55" t="s">
        <v>907</v>
      </c>
      <c r="B99" s="55">
        <v>98</v>
      </c>
      <c r="C99" s="55" t="s">
        <v>904</v>
      </c>
      <c r="D99" s="55">
        <v>1</v>
      </c>
      <c r="E99" s="55">
        <v>28</v>
      </c>
      <c r="F99" s="65">
        <f>+Table3[[#This Row],[Ending 
Position
(inclusive)]]-Table3[[#This Row],[Beginning 
Position]]+1</f>
        <v>28</v>
      </c>
      <c r="G99" s="55"/>
    </row>
    <row r="100" spans="1:7">
      <c r="A100" s="55" t="s">
        <v>907</v>
      </c>
      <c r="B100" s="55">
        <v>99</v>
      </c>
      <c r="C100" s="55" t="s">
        <v>898</v>
      </c>
      <c r="D100" s="55">
        <v>29</v>
      </c>
      <c r="E100" s="55">
        <v>56</v>
      </c>
      <c r="F100" s="65">
        <f>+Table3[[#This Row],[Ending 
Position
(inclusive)]]-Table3[[#This Row],[Beginning 
Position]]+1</f>
        <v>28</v>
      </c>
      <c r="G100" s="55"/>
    </row>
    <row r="101" spans="1:7">
      <c r="A101" s="55" t="s">
        <v>907</v>
      </c>
      <c r="B101" s="55">
        <v>100</v>
      </c>
      <c r="C101" s="55" t="s">
        <v>908</v>
      </c>
      <c r="D101" s="55">
        <v>57</v>
      </c>
      <c r="E101" s="55">
        <v>66</v>
      </c>
      <c r="F101" s="65">
        <f>+Table3[[#This Row],[Ending 
Position
(inclusive)]]-Table3[[#This Row],[Beginning 
Position]]+1</f>
        <v>10</v>
      </c>
      <c r="G101" s="55"/>
    </row>
    <row r="102" spans="1:7">
      <c r="A102" s="55" t="s">
        <v>907</v>
      </c>
      <c r="B102" s="55">
        <v>101</v>
      </c>
      <c r="C102" s="55" t="s">
        <v>905</v>
      </c>
      <c r="D102" s="55">
        <v>67</v>
      </c>
      <c r="E102" s="55">
        <v>76</v>
      </c>
      <c r="F102" s="65">
        <f>+Table3[[#This Row],[Ending 
Position
(inclusive)]]-Table3[[#This Row],[Beginning 
Position]]+1</f>
        <v>10</v>
      </c>
      <c r="G102" s="55"/>
    </row>
    <row r="103" spans="1:7">
      <c r="A103" s="55" t="s">
        <v>907</v>
      </c>
      <c r="B103" s="55">
        <v>102</v>
      </c>
      <c r="C103" s="55" t="s">
        <v>906</v>
      </c>
      <c r="D103" s="55">
        <v>77</v>
      </c>
      <c r="E103" s="55">
        <v>106</v>
      </c>
      <c r="F103" s="65">
        <f>+Table3[[#This Row],[Ending 
Position
(inclusive)]]-Table3[[#This Row],[Beginning 
Position]]+1</f>
        <v>30</v>
      </c>
      <c r="G103" s="55"/>
    </row>
    <row r="104" spans="1:7">
      <c r="A104" s="55" t="s">
        <v>909</v>
      </c>
      <c r="B104" s="55">
        <v>103</v>
      </c>
      <c r="C104" s="55" t="s">
        <v>904</v>
      </c>
      <c r="D104" s="55">
        <v>1</v>
      </c>
      <c r="E104" s="55">
        <v>28</v>
      </c>
      <c r="F104" s="65">
        <f>+Table3[[#This Row],[Ending 
Position
(inclusive)]]-Table3[[#This Row],[Beginning 
Position]]+1</f>
        <v>28</v>
      </c>
      <c r="G104" s="55"/>
    </row>
    <row r="105" spans="1:7">
      <c r="A105" s="55" t="s">
        <v>909</v>
      </c>
      <c r="B105" s="55">
        <v>104</v>
      </c>
      <c r="C105" s="55" t="s">
        <v>898</v>
      </c>
      <c r="D105" s="55">
        <v>29</v>
      </c>
      <c r="E105" s="55">
        <v>56</v>
      </c>
      <c r="F105" s="65">
        <f>+Table3[[#This Row],[Ending 
Position
(inclusive)]]-Table3[[#This Row],[Beginning 
Position]]+1</f>
        <v>28</v>
      </c>
      <c r="G105" s="55"/>
    </row>
    <row r="106" spans="1:7">
      <c r="A106" s="55" t="s">
        <v>909</v>
      </c>
      <c r="B106" s="55">
        <v>105</v>
      </c>
      <c r="C106" s="55" t="s">
        <v>908</v>
      </c>
      <c r="D106" s="55">
        <v>57</v>
      </c>
      <c r="E106" s="55">
        <v>66</v>
      </c>
      <c r="F106" s="65">
        <f>+Table3[[#This Row],[Ending 
Position
(inclusive)]]-Table3[[#This Row],[Beginning 
Position]]+1</f>
        <v>10</v>
      </c>
      <c r="G106" s="55"/>
    </row>
    <row r="107" spans="1:7">
      <c r="A107" s="55" t="s">
        <v>909</v>
      </c>
      <c r="B107" s="55">
        <v>106</v>
      </c>
      <c r="C107" s="55" t="s">
        <v>906</v>
      </c>
      <c r="D107" s="55">
        <v>67</v>
      </c>
      <c r="E107" s="55">
        <v>96</v>
      </c>
      <c r="F107" s="65">
        <f>+Table3[[#This Row],[Ending 
Position
(inclusive)]]-Table3[[#This Row],[Beginning 
Position]]+1</f>
        <v>30</v>
      </c>
      <c r="G107" s="55"/>
    </row>
  </sheetData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M Document" ma:contentTypeID="0x0101003432204DD78F724985A3A6E17B85FCDB008FC7FA63C8627342B5ABF36C0DD5F994" ma:contentTypeVersion="19" ma:contentTypeDescription="" ma:contentTypeScope="" ma:versionID="492590d759b161090ab380a1930cca43">
  <xsd:schema xmlns:xsd="http://www.w3.org/2001/XMLSchema" xmlns:xs="http://www.w3.org/2001/XMLSchema" xmlns:p="http://schemas.microsoft.com/office/2006/metadata/properties" xmlns:ns1="http://schemas.microsoft.com/sharepoint/v3" xmlns:ns2="e45da448-bf9c-43e8-8676-7e88d583ded9" xmlns:ns3="45ed38f5-097b-4ad8-9d10-f3aea2734b7f" xmlns:ns4="aa3f7b8f-5a3c-4d02-bc5a-496269742934" targetNamespace="http://schemas.microsoft.com/office/2006/metadata/properties" ma:root="true" ma:fieldsID="59373fbf304bf67589dc1d26f7e58f0b" ns1:_="" ns2:_="" ns3:_="" ns4:_="">
    <xsd:import namespace="http://schemas.microsoft.com/sharepoint/v3"/>
    <xsd:import namespace="e45da448-bf9c-43e8-8676-7e88d583ded9"/>
    <xsd:import namespace="45ed38f5-097b-4ad8-9d10-f3aea2734b7f"/>
    <xsd:import namespace="aa3f7b8f-5a3c-4d02-bc5a-496269742934"/>
    <xsd:element name="properties">
      <xsd:complexType>
        <xsd:sequence>
          <xsd:element name="documentManagement">
            <xsd:complexType>
              <xsd:all>
                <xsd:element ref="ns2:n950be7c033c405799d86b2eaefc0d13" minOccurs="0"/>
                <xsd:element ref="ns2:TaxCatchAll" minOccurs="0"/>
                <xsd:element ref="ns2:TaxCatchAllLabel" minOccurs="0"/>
                <xsd:element ref="ns2:ECMConvenienceCopy" minOccurs="0"/>
                <xsd:element ref="ns2:gfa60d75902d4200b6f9a2bdbcf9beba" minOccurs="0"/>
                <xsd:element ref="ns2:n4cb856362834df5a46f3232b6743fed" minOccurs="0"/>
                <xsd:element ref="ns2:ECMRecordEventDate" minOccurs="0"/>
                <xsd:element ref="ns2:k36a84ccdbc1473196ad88f28e4bb1ae" minOccurs="0"/>
                <xsd:element ref="ns2:e9a89bc95ac74632bedaa462441ea5c0" minOccurs="0"/>
                <xsd:element ref="ns2:ECMRecordFinalDate" minOccurs="0"/>
                <xsd:element ref="ns2:e7bdf809c8784a8d90065e2edcfd24c9" minOccurs="0"/>
                <xsd:element ref="ns2:h2be3e465a9e45f58ee3021106bcd385" minOccurs="0"/>
                <xsd:element ref="ns2:e93b0e8b4fc14a29960bc645899032dc" minOccurs="0"/>
                <xsd:element ref="ns3:PrimeConfidenceScore" minOccurs="0"/>
                <xsd:element ref="ns3:PrimeClassificationStatus" minOccurs="0"/>
                <xsd:element ref="ns3:PrimeClassificationStatusDetails" minOccurs="0"/>
                <xsd:element ref="ns3:PrimeModelURL" minOccurs="0"/>
                <xsd:element ref="ns3:PrimeModelVersion" minOccurs="0"/>
                <xsd:element ref="ns3:PrimeLastClassified" minOccurs="0"/>
                <xsd:element ref="ns3:PrimeCorrectedByUser" minOccurs="0"/>
                <xsd:element ref="ns3:_ModelId" minOccurs="0"/>
                <xsd:element ref="ns1:_ExtendedDescription" minOccurs="0"/>
                <xsd:element ref="ns4:Details" minOccurs="0"/>
                <xsd:element ref="ns4:Notes" minOccurs="0"/>
                <xsd:element ref="ns4:_Flow_SignoffStatus" minOccurs="0"/>
                <xsd:element ref="ns4:MediaServiceLoca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37" nillable="true" ma:displayName="Description" ma:internalName="_Extended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da448-bf9c-43e8-8676-7e88d583ded9" elementFormDefault="qualified">
    <xsd:import namespace="http://schemas.microsoft.com/office/2006/documentManagement/types"/>
    <xsd:import namespace="http://schemas.microsoft.com/office/infopath/2007/PartnerControls"/>
    <xsd:element name="n950be7c033c405799d86b2eaefc0d13" ma:index="8" nillable="true" ma:taxonomy="true" ma:internalName="n950be7c033c405799d86b2eaefc0d13" ma:taxonomyFieldName="ECMAccessClassification" ma:displayName="Access Classification" ma:default="" ma:fieldId="{7950be7c-033c-4057-99d8-6b2eaefc0d13}" ma:sspId="1da7e81d-6ea8-45c5-b51f-f6fb8dd5843f" ma:termSetId="0cd2d6f6-43b5-4d7b-8dc6-eb8f0e5230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100438c1-9e77-459e-8d35-e8bbee7db9a7}" ma:internalName="TaxCatchAll" ma:showField="CatchAllData" ma:web="45ed38f5-097b-4ad8-9d10-f3aea2734b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100438c1-9e77-459e-8d35-e8bbee7db9a7}" ma:internalName="TaxCatchAllLabel" ma:readOnly="true" ma:showField="CatchAllDataLabel" ma:web="45ed38f5-097b-4ad8-9d10-f3aea2734b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CMConvenienceCopy" ma:index="12" nillable="true" ma:displayName="Convenience Copy" ma:default="0" ma:internalName="ECMConvenienceCopy">
      <xsd:simpleType>
        <xsd:restriction base="dms:Boolean"/>
      </xsd:simpleType>
    </xsd:element>
    <xsd:element name="gfa60d75902d4200b6f9a2bdbcf9beba" ma:index="13" nillable="true" ma:taxonomy="true" ma:internalName="gfa60d75902d4200b6f9a2bdbcf9beba" ma:taxonomyFieldName="ECMCriticalityLevel" ma:displayName="Criticality Level" ma:default="" ma:fieldId="{0fa60d75-902d-4200-b6f9-a2bdbcf9beba}" ma:sspId="1da7e81d-6ea8-45c5-b51f-f6fb8dd5843f" ma:termSetId="3cb517d1-9f6b-4e85-9a7b-e42df60b27d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4cb856362834df5a46f3232b6743fed" ma:index="15" nillable="true" ma:taxonomy="true" ma:internalName="n4cb856362834df5a46f3232b6743fed" ma:taxonomyFieldName="ECMDivisionGroup" ma:displayName="Division/Group" ma:default="3;#IT Solution Delivery - Grid Management System|e9b68b98-28ba-4fef-bc71-f0191919361d" ma:fieldId="{74cb8563-6283-4df5-a46f-3232b6743fed}" ma:sspId="1da7e81d-6ea8-45c5-b51f-f6fb8dd5843f" ma:termSetId="c705b7e3-9ebf-43b6-b4bc-dd337f6015f6" ma:anchorId="a1ca2d73-8e17-4de0-9f7d-8f6d5a9c26a2" ma:open="false" ma:isKeyword="false">
      <xsd:complexType>
        <xsd:sequence>
          <xsd:element ref="pc:Terms" minOccurs="0" maxOccurs="1"/>
        </xsd:sequence>
      </xsd:complexType>
    </xsd:element>
    <xsd:element name="ECMRecordEventDate" ma:index="17" nillable="true" ma:displayName="Record Event Date" ma:format="DateOnly" ma:internalName="ECMRecordEventDate">
      <xsd:simpleType>
        <xsd:restriction base="dms:DateTime"/>
      </xsd:simpleType>
    </xsd:element>
    <xsd:element name="k36a84ccdbc1473196ad88f28e4bb1ae" ma:index="18" nillable="true" ma:taxonomy="true" ma:internalName="k36a84ccdbc1473196ad88f28e4bb1ae" ma:taxonomyFieldName="ECMHandlingClassifications" ma:displayName="Handling Classifications" ma:default="" ma:fieldId="{436a84cc-dbc1-4731-96ad-88f28e4bb1ae}" ma:taxonomyMulti="true" ma:sspId="1da7e81d-6ea8-45c5-b51f-f6fb8dd5843f" ma:termSetId="5d17f32d-b94c-400c-8e7d-4f26f0d0cc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9a89bc95ac74632bedaa462441ea5c0" ma:index="20" nillable="true" ma:taxonomy="true" ma:internalName="e9a89bc95ac74632bedaa462441ea5c0" ma:taxonomyFieldName="ECMOperatingUnit" ma:displayName="Operating Unit" ma:default="1;#Information Technology|198c3648-0426-4f2a-ac1a-93ae41b569f5" ma:fieldId="{e9a89bc9-5ac7-4632-beda-a462441ea5c0}" ma:sspId="1da7e81d-6ea8-45c5-b51f-f6fb8dd5843f" ma:termSetId="a020194f-a5bc-496e-9faf-8f555d2331e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MRecordFinalDate" ma:index="22" nillable="true" ma:displayName="Record Finalization Date" ma:format="DateOnly" ma:internalName="ECMRecordFinalDate">
      <xsd:simpleType>
        <xsd:restriction base="dms:DateTime"/>
      </xsd:simpleType>
    </xsd:element>
    <xsd:element name="e7bdf809c8784a8d90065e2edcfd24c9" ma:index="23" nillable="true" ma:taxonomy="true" ma:internalName="e7bdf809c8784a8d90065e2edcfd24c9" ma:taxonomyFieldName="ECMRecordTypeInfo" ma:displayName="Record Type Info" ma:default="" ma:fieldId="{e7bdf809-c878-4a8d-9006-5e2edcfd24c9}" ma:sspId="1da7e81d-6ea8-45c5-b51f-f6fb8dd5843f" ma:termSetId="e1802758-3a7f-4570-b6cc-d7b383be0161" ma:anchorId="e9b68b98-28ba-4fef-bc71-f0191919361d" ma:open="false" ma:isKeyword="false">
      <xsd:complexType>
        <xsd:sequence>
          <xsd:element ref="pc:Terms" minOccurs="0" maxOccurs="1"/>
        </xsd:sequence>
      </xsd:complexType>
    </xsd:element>
    <xsd:element name="h2be3e465a9e45f58ee3021106bcd385" ma:index="25" nillable="true" ma:taxonomy="true" ma:internalName="h2be3e465a9e45f58ee3021106bcd385" ma:taxonomyFieldName="ECMDepartment" ma:displayName="SCE Department" ma:default="2;#Grid Modernization and T＆D Spec Programs|a1ca2d73-8e17-4de0-9f7d-8f6d5a9c26a2" ma:fieldId="{12be3e46-5a9e-45f5-8ee3-021106bcd385}" ma:sspId="1da7e81d-6ea8-45c5-b51f-f6fb8dd5843f" ma:termSetId="567e080e-5520-4606-ac34-9afc05498b33" ma:anchorId="198c3648-0426-4f2a-ac1a-93ae41b569f5" ma:open="false" ma:isKeyword="false">
      <xsd:complexType>
        <xsd:sequence>
          <xsd:element ref="pc:Terms" minOccurs="0" maxOccurs="1"/>
        </xsd:sequence>
      </xsd:complexType>
    </xsd:element>
    <xsd:element name="e93b0e8b4fc14a29960bc645899032dc" ma:index="27" nillable="true" ma:taxonomy="true" ma:internalName="e93b0e8b4fc14a29960bc645899032dc" ma:taxonomyFieldName="ECMRecordType" ma:displayName="Record Type" ma:default="" ma:fieldId="{e93b0e8b-4fc1-4a29-960b-c645899032dc}" ma:sspId="1da7e81d-6ea8-45c5-b51f-f6fb8dd5843f" ma:termSetId="2b11d26e-9486-427b-9443-8a2fa75a24b3" ma:anchorId="e9b68b98-28ba-4fef-bc71-f0191919361d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d38f5-097b-4ad8-9d10-f3aea2734b7f" elementFormDefault="qualified">
    <xsd:import namespace="http://schemas.microsoft.com/office/2006/documentManagement/types"/>
    <xsd:import namespace="http://schemas.microsoft.com/office/infopath/2007/PartnerControls"/>
    <xsd:element name="PrimeConfidenceScore" ma:index="29" nillable="true" ma:displayName="Confidence Score" ma:decimals="4" ma:internalName="PrimeConfidenceScore" ma:percentage="TRUE">
      <xsd:simpleType>
        <xsd:restriction base="dms:Number"/>
      </xsd:simpleType>
    </xsd:element>
    <xsd:element name="PrimeClassificationStatus" ma:index="30" nillable="true" ma:displayName="Processing status" ma:internalName="PrimeClassificationStatus">
      <xsd:simpleType>
        <xsd:restriction base="dms:Text"/>
      </xsd:simpleType>
    </xsd:element>
    <xsd:element name="PrimeClassificationStatusDetails" ma:index="31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ModelURL" ma:index="32" nillable="true" ma:displayName="Model URL" ma:internalName="PrimeModel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rimeModelVersion" ma:index="33" nillable="true" ma:displayName="Model Version" ma:internalName="PrimeModelVersion">
      <xsd:simpleType>
        <xsd:restriction base="dms:Text"/>
      </xsd:simpleType>
    </xsd:element>
    <xsd:element name="PrimeLastClassified" ma:index="34" nillable="true" ma:displayName="Processed" ma:internalName="PrimeLastClassified">
      <xsd:simpleType>
        <xsd:restriction base="dms:DateTime"/>
      </xsd:simpleType>
    </xsd:element>
    <xsd:element name="PrimeCorrectedByUser" ma:index="35" nillable="true" ma:displayName="Corrected" ma:internalName="PrimeCorrectedByUser">
      <xsd:simpleType>
        <xsd:restriction base="dms:Boolean"/>
      </xsd:simpleType>
    </xsd:element>
    <xsd:element name="_ModelId" ma:index="36" nillable="true" ma:displayName="_ModelId" ma:internalName="_ModelId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f7b8f-5a3c-4d02-bc5a-496269742934" elementFormDefault="qualified">
    <xsd:import namespace="http://schemas.microsoft.com/office/2006/documentManagement/types"/>
    <xsd:import namespace="http://schemas.microsoft.com/office/infopath/2007/PartnerControls"/>
    <xsd:element name="Details" ma:index="38" nillable="true" ma:displayName="Details" ma:format="Dropdown" ma:internalName="Details">
      <xsd:simpleType>
        <xsd:restriction base="dms:Text">
          <xsd:maxLength value="255"/>
        </xsd:restriction>
      </xsd:simpleType>
    </xsd:element>
    <xsd:element name="Notes" ma:index="39" nillable="true" ma:displayName="Notes" ma:description="Notes not included in comments" ma:format="Dropdown" ma:internalName="Notes">
      <xsd:simpleType>
        <xsd:restriction base="dms:Note">
          <xsd:maxLength value="255"/>
        </xsd:restriction>
      </xsd:simpleType>
    </xsd:element>
    <xsd:element name="_Flow_SignoffStatus" ma:index="40" nillable="true" ma:displayName="Sign-off status" ma:internalName="Sign_x002d_off_x0020_status">
      <xsd:simpleType>
        <xsd:restriction base="dms:Text"/>
      </xsd:simpleType>
    </xsd:element>
    <xsd:element name="MediaServiceLocation" ma:index="4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da7e81d-6ea8-45c5-b51f-f6fb8dd5843f" ContentTypeId="0x0101003432204DD78F724985A3A6E17B85FCDB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meModelVersion xmlns="45ed38f5-097b-4ad8-9d10-f3aea2734b7f" xsi:nil="true"/>
    <Details xmlns="aa3f7b8f-5a3c-4d02-bc5a-496269742934" xsi:nil="true"/>
    <Notes xmlns="aa3f7b8f-5a3c-4d02-bc5a-496269742934" xsi:nil="true"/>
    <TaxCatchAll xmlns="e45da448-bf9c-43e8-8676-7e88d583ded9">
      <Value>3</Value>
      <Value>2</Value>
      <Value>1</Value>
    </TaxCatchAll>
    <e93b0e8b4fc14a29960bc645899032dc xmlns="e45da448-bf9c-43e8-8676-7e88d583ded9">
      <Terms xmlns="http://schemas.microsoft.com/office/infopath/2007/PartnerControls"/>
    </e93b0e8b4fc14a29960bc645899032dc>
    <e7bdf809c8784a8d90065e2edcfd24c9 xmlns="e45da448-bf9c-43e8-8676-7e88d583ded9">
      <Terms xmlns="http://schemas.microsoft.com/office/infopath/2007/PartnerControls"/>
    </e7bdf809c8784a8d90065e2edcfd24c9>
    <PrimeCorrectedByUser xmlns="45ed38f5-097b-4ad8-9d10-f3aea2734b7f" xsi:nil="true"/>
    <e9a89bc95ac74632bedaa462441ea5c0 xmlns="e45da448-bf9c-43e8-8676-7e88d583ded9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Information Technology</TermName>
          <TermId xmlns="http://schemas.microsoft.com/office/infopath/2007/PartnerControls">198c3648-0426-4f2a-ac1a-93ae41b569f5</TermId>
        </TermInfo>
      </Terms>
    </e9a89bc95ac74632bedaa462441ea5c0>
    <PrimeModelURL xmlns="45ed38f5-097b-4ad8-9d10-f3aea2734b7f">
      <Url xsi:nil="true"/>
      <Description xsi:nil="true"/>
    </PrimeModelURL>
    <n950be7c033c405799d86b2eaefc0d13 xmlns="e45da448-bf9c-43e8-8676-7e88d583ded9">
      <Terms xmlns="http://schemas.microsoft.com/office/infopath/2007/PartnerControls"/>
    </n950be7c033c405799d86b2eaefc0d13>
    <PrimeClassificationStatusDetails xmlns="45ed38f5-097b-4ad8-9d10-f3aea2734b7f" xsi:nil="true"/>
    <PrimeLastClassified xmlns="45ed38f5-097b-4ad8-9d10-f3aea2734b7f" xsi:nil="true"/>
    <_Flow_SignoffStatus xmlns="aa3f7b8f-5a3c-4d02-bc5a-496269742934" xsi:nil="true"/>
    <ECMRecordFinalDate xmlns="e45da448-bf9c-43e8-8676-7e88d583ded9" xsi:nil="true"/>
    <_ExtendedDescription xmlns="http://schemas.microsoft.com/sharepoint/v3" xsi:nil="true"/>
    <n4cb856362834df5a46f3232b6743fed xmlns="e45da448-bf9c-43e8-8676-7e88d583ded9">
      <Terms xmlns="http://schemas.microsoft.com/office/infopath/2007/PartnerControls">
        <TermInfo xmlns="http://schemas.microsoft.com/office/infopath/2007/PartnerControls">
          <TermName xmlns="http://schemas.microsoft.com/office/infopath/2007/PartnerControls">IT Solution Delivery - Grid Management System</TermName>
          <TermId xmlns="http://schemas.microsoft.com/office/infopath/2007/PartnerControls">e9b68b98-28ba-4fef-bc71-f0191919361d</TermId>
        </TermInfo>
      </Terms>
    </n4cb856362834df5a46f3232b6743fed>
    <PrimeClassificationStatus xmlns="45ed38f5-097b-4ad8-9d10-f3aea2734b7f" xsi:nil="true"/>
    <gfa60d75902d4200b6f9a2bdbcf9beba xmlns="e45da448-bf9c-43e8-8676-7e88d583ded9">
      <Terms xmlns="http://schemas.microsoft.com/office/infopath/2007/PartnerControls"/>
    </gfa60d75902d4200b6f9a2bdbcf9beba>
    <ECMConvenienceCopy xmlns="e45da448-bf9c-43e8-8676-7e88d583ded9">false</ECMConvenienceCopy>
    <PrimeConfidenceScore xmlns="45ed38f5-097b-4ad8-9d10-f3aea2734b7f" xsi:nil="true"/>
    <k36a84ccdbc1473196ad88f28e4bb1ae xmlns="e45da448-bf9c-43e8-8676-7e88d583ded9">
      <Terms xmlns="http://schemas.microsoft.com/office/infopath/2007/PartnerControls"/>
    </k36a84ccdbc1473196ad88f28e4bb1ae>
    <h2be3e465a9e45f58ee3021106bcd385 xmlns="e45da448-bf9c-43e8-8676-7e88d583ded9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Grid Modernization and T＆D Spec Programs</TermName>
          <TermId xmlns="http://schemas.microsoft.com/office/infopath/2007/PartnerControls">a1ca2d73-8e17-4de0-9f7d-8f6d5a9c26a2</TermId>
        </TermInfo>
      </Terms>
    </h2be3e465a9e45f58ee3021106bcd385>
    <_ModelId xmlns="45ed38f5-097b-4ad8-9d10-f3aea2734b7f" xsi:nil="true"/>
    <ECMRecordEventDate xmlns="e45da448-bf9c-43e8-8676-7e88d583ded9" xsi:nil="true"/>
  </documentManagement>
</p:properties>
</file>

<file path=customXml/itemProps1.xml><?xml version="1.0" encoding="utf-8"?>
<ds:datastoreItem xmlns:ds="http://schemas.openxmlformats.org/officeDocument/2006/customXml" ds:itemID="{8559EF10-263C-43A0-82E5-394735116F7B}"/>
</file>

<file path=customXml/itemProps2.xml><?xml version="1.0" encoding="utf-8"?>
<ds:datastoreItem xmlns:ds="http://schemas.openxmlformats.org/officeDocument/2006/customXml" ds:itemID="{6CA64854-95BB-414C-95FF-C6647CE12BC0}"/>
</file>

<file path=customXml/itemProps3.xml><?xml version="1.0" encoding="utf-8"?>
<ds:datastoreItem xmlns:ds="http://schemas.openxmlformats.org/officeDocument/2006/customXml" ds:itemID="{0ECA8A35-3522-4203-9353-A2610DE03771}"/>
</file>

<file path=customXml/itemProps4.xml><?xml version="1.0" encoding="utf-8"?>
<ds:datastoreItem xmlns:ds="http://schemas.openxmlformats.org/officeDocument/2006/customXml" ds:itemID="{9624AD77-C5A4-452B-A60B-9151220BCE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Event Types</vt:lpstr>
      <vt:lpstr>Message 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eric.fleuret</dc:creator>
  <cp:lastModifiedBy>Syagam, Obulreddy (GE Vernova)</cp:lastModifiedBy>
  <dcterms:created xsi:type="dcterms:W3CDTF">2011-09-19T23:05:12Z</dcterms:created>
  <dcterms:modified xsi:type="dcterms:W3CDTF">2026-02-12T18:18:08Z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0x0101003432204DD78F724985A3A6E17B85FCDB008FC7FA63C8627342B5ABF36C0DD5F994</vt:lpwstr>
  </property>
</Properties>
</file>